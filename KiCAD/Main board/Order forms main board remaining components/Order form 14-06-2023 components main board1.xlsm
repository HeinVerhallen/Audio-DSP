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8f1d2c6ddd7cb7f/Documenten/School/Fontys/Minor/Be creative minor/Git/Audio-DSP/KiCAD/Main board/Order forms main board remaining components/"/>
    </mc:Choice>
  </mc:AlternateContent>
  <xr:revisionPtr revIDLastSave="481" documentId="13_ncr:1_{C6327837-2878-4E88-9722-0743A9B87D1F}" xr6:coauthVersionLast="47" xr6:coauthVersionMax="47" xr10:uidLastSave="{79179E52-5FF0-40B9-9FC4-BE7A58F1C85B}"/>
  <workbookProtection workbookAlgorithmName="SHA-512" workbookHashValue="97hauRiiYirncdGaBw2UE5/IWnVH9hCy5eGVf6oEK3syb2NIjdk0PBfoYyk5uUrUGspFnjRe1NMJX8ebi7EQsg==" workbookSaltValue="bjUozqD+OmH+xrVmNHXnxQ==" workbookSpinCount="100000" lockStructure="1"/>
  <bookViews>
    <workbookView xWindow="-108" yWindow="-108" windowWidth="23256" windowHeight="12456" tabRatio="546" xr2:uid="{00000000-000D-0000-FFFF-FFFF00000000}"/>
  </bookViews>
  <sheets>
    <sheet name="Orderlist" sheetId="1" r:id="rId1"/>
    <sheet name="Booleans" sheetId="5" state="hidden" r:id="rId2"/>
    <sheet name="Settings" sheetId="6" state="hidden" r:id="rId3"/>
    <sheet name="Informatiemanager" sheetId="8" state="veryHidden" r:id="rId4"/>
    <sheet name="Validaties" sheetId="7" state="hidden" r:id="rId5"/>
    <sheet name="_56F9DC9755BA473782653E2940F9" sheetId="4" state="hidden" r:id="rId6"/>
  </sheets>
  <definedNames>
    <definedName name="_56F9DC9755BA473782653E2940F9FormId">"ZWdrxpS3K0qE7YRbNBwIalfvBeI0cflPqZMzLD3IGzxUMjRYNks0VDhORDRDN0NGTkpQUzFZUFhVVS4u"</definedName>
    <definedName name="_56F9DC9755BA473782653E2940F9ResponseSheet">"Form1"</definedName>
    <definedName name="_56F9DC9755BA473782653E2940F9SourceDocId">"{b839babe-035c-434a-874b-a80ab40259a4}"</definedName>
    <definedName name="_xlnm._FilterDatabase" localSheetId="0" hidden="1">Orderlist!#REF!</definedName>
    <definedName name="_GoBack" localSheetId="0">Orderlist!#REF!</definedName>
    <definedName name="buffer" workbookParameter="1">Orderlist!$H$23</definedName>
    <definedName name="Initialized" workbookParameter="1">Booleans!$A$2</definedName>
    <definedName name="Kostenplaatsen">OFFSET(Validaties!$C$1,1,0,COUNTA(Validaties!$C:$C)-1,1)</definedName>
    <definedName name="Leveranciers">OFFSET(Validaties!$G$1,1,0,COUNTA(Validaties!$G:$G)-1,1)</definedName>
    <definedName name="PCodes">OFFSET(Validaties!$E$1,1,0,COUNTA(Validaties!$E:$E)-1,1)</definedName>
    <definedName name="PType">OFFSET(Validaties!#REF!,1,0,COUNTA(Validaties!#REF!)-1,1)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2" i="1" l="1"/>
  <c r="E29" i="1" l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C11" i="1" l="1"/>
  <c r="G42" i="1" s="1"/>
  <c r="I42" i="1" s="1"/>
  <c r="J29" i="1" l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R68" i="1" l="1"/>
  <c r="M68" i="1"/>
  <c r="L68" i="1"/>
  <c r="K68" i="1"/>
  <c r="I68" i="1"/>
  <c r="P68" i="1" s="1"/>
  <c r="Q68" i="1"/>
  <c r="R67" i="1"/>
  <c r="M67" i="1"/>
  <c r="L67" i="1"/>
  <c r="K67" i="1"/>
  <c r="I67" i="1"/>
  <c r="P67" i="1" s="1"/>
  <c r="Q67" i="1"/>
  <c r="R66" i="1"/>
  <c r="M66" i="1"/>
  <c r="L66" i="1"/>
  <c r="K66" i="1"/>
  <c r="I66" i="1"/>
  <c r="P66" i="1" s="1"/>
  <c r="Q66" i="1"/>
  <c r="R65" i="1"/>
  <c r="M65" i="1"/>
  <c r="L65" i="1"/>
  <c r="K65" i="1"/>
  <c r="I65" i="1"/>
  <c r="P65" i="1" s="1"/>
  <c r="Q65" i="1"/>
  <c r="R64" i="1"/>
  <c r="M64" i="1"/>
  <c r="L64" i="1"/>
  <c r="K64" i="1"/>
  <c r="N64" i="1"/>
  <c r="Q64" i="1"/>
  <c r="R63" i="1"/>
  <c r="M63" i="1"/>
  <c r="L63" i="1"/>
  <c r="K63" i="1"/>
  <c r="G63" i="1"/>
  <c r="I63" i="1" s="1"/>
  <c r="P63" i="1" s="1"/>
  <c r="Q63" i="1"/>
  <c r="R62" i="1"/>
  <c r="M62" i="1"/>
  <c r="L62" i="1"/>
  <c r="K62" i="1"/>
  <c r="G62" i="1"/>
  <c r="N62" i="1" s="1"/>
  <c r="Q62" i="1"/>
  <c r="R61" i="1"/>
  <c r="M61" i="1"/>
  <c r="L61" i="1"/>
  <c r="K61" i="1"/>
  <c r="G61" i="1"/>
  <c r="N61" i="1" s="1"/>
  <c r="Q61" i="1"/>
  <c r="R60" i="1"/>
  <c r="M60" i="1"/>
  <c r="L60" i="1"/>
  <c r="K60" i="1"/>
  <c r="G60" i="1"/>
  <c r="N60" i="1" s="1"/>
  <c r="Q60" i="1"/>
  <c r="N68" i="1" l="1"/>
  <c r="O68" i="1" s="1"/>
  <c r="N67" i="1"/>
  <c r="O67" i="1" s="1"/>
  <c r="N66" i="1"/>
  <c r="O66" i="1" s="1"/>
  <c r="N65" i="1"/>
  <c r="O65" i="1" s="1"/>
  <c r="O64" i="1"/>
  <c r="I64" i="1"/>
  <c r="P64" i="1" s="1"/>
  <c r="N63" i="1"/>
  <c r="O63" i="1" s="1"/>
  <c r="O62" i="1"/>
  <c r="I62" i="1"/>
  <c r="P62" i="1" s="1"/>
  <c r="O61" i="1"/>
  <c r="I61" i="1"/>
  <c r="P61" i="1" s="1"/>
  <c r="I60" i="1"/>
  <c r="P60" i="1" s="1"/>
  <c r="O60" i="1"/>
  <c r="R59" i="1" l="1"/>
  <c r="M59" i="1"/>
  <c r="L59" i="1"/>
  <c r="K59" i="1"/>
  <c r="G59" i="1"/>
  <c r="N59" i="1" s="1"/>
  <c r="Q59" i="1"/>
  <c r="R58" i="1"/>
  <c r="M58" i="1"/>
  <c r="L58" i="1"/>
  <c r="K58" i="1"/>
  <c r="G58" i="1"/>
  <c r="I58" i="1" s="1"/>
  <c r="P58" i="1" s="1"/>
  <c r="Q58" i="1"/>
  <c r="R57" i="1"/>
  <c r="M57" i="1"/>
  <c r="L57" i="1"/>
  <c r="K57" i="1"/>
  <c r="G57" i="1"/>
  <c r="I57" i="1" s="1"/>
  <c r="P57" i="1" s="1"/>
  <c r="Q57" i="1"/>
  <c r="R56" i="1"/>
  <c r="M56" i="1"/>
  <c r="L56" i="1"/>
  <c r="K56" i="1"/>
  <c r="G56" i="1"/>
  <c r="I56" i="1" s="1"/>
  <c r="P56" i="1" s="1"/>
  <c r="Q56" i="1"/>
  <c r="R55" i="1"/>
  <c r="M55" i="1"/>
  <c r="L55" i="1"/>
  <c r="K55" i="1"/>
  <c r="G55" i="1"/>
  <c r="N55" i="1" s="1"/>
  <c r="Q55" i="1"/>
  <c r="R54" i="1"/>
  <c r="M54" i="1"/>
  <c r="L54" i="1"/>
  <c r="K54" i="1"/>
  <c r="G54" i="1"/>
  <c r="N54" i="1" s="1"/>
  <c r="Q54" i="1"/>
  <c r="R53" i="1"/>
  <c r="M53" i="1"/>
  <c r="L53" i="1"/>
  <c r="K53" i="1"/>
  <c r="G53" i="1"/>
  <c r="N53" i="1" s="1"/>
  <c r="Q53" i="1"/>
  <c r="R52" i="1"/>
  <c r="M52" i="1"/>
  <c r="L52" i="1"/>
  <c r="K52" i="1"/>
  <c r="N52" i="1"/>
  <c r="Q52" i="1"/>
  <c r="R51" i="1"/>
  <c r="M51" i="1"/>
  <c r="L51" i="1"/>
  <c r="K51" i="1"/>
  <c r="N51" i="1"/>
  <c r="Q51" i="1"/>
  <c r="R50" i="1"/>
  <c r="M50" i="1"/>
  <c r="L50" i="1"/>
  <c r="K50" i="1"/>
  <c r="N50" i="1"/>
  <c r="Q50" i="1"/>
  <c r="R49" i="1"/>
  <c r="M49" i="1"/>
  <c r="L49" i="1"/>
  <c r="K49" i="1"/>
  <c r="N49" i="1"/>
  <c r="Q49" i="1"/>
  <c r="R48" i="1"/>
  <c r="M48" i="1"/>
  <c r="L48" i="1"/>
  <c r="K48" i="1"/>
  <c r="N48" i="1"/>
  <c r="Q48" i="1"/>
  <c r="R47" i="1"/>
  <c r="M47" i="1"/>
  <c r="L47" i="1"/>
  <c r="K47" i="1"/>
  <c r="N47" i="1"/>
  <c r="Q47" i="1"/>
  <c r="R46" i="1"/>
  <c r="M46" i="1"/>
  <c r="L46" i="1"/>
  <c r="K46" i="1"/>
  <c r="N46" i="1"/>
  <c r="Q46" i="1"/>
  <c r="R45" i="1"/>
  <c r="M45" i="1"/>
  <c r="L45" i="1"/>
  <c r="K45" i="1"/>
  <c r="N45" i="1"/>
  <c r="Q45" i="1"/>
  <c r="R44" i="1"/>
  <c r="M44" i="1"/>
  <c r="L44" i="1"/>
  <c r="K44" i="1"/>
  <c r="N44" i="1"/>
  <c r="Q44" i="1"/>
  <c r="R43" i="1"/>
  <c r="M43" i="1"/>
  <c r="L43" i="1"/>
  <c r="K43" i="1"/>
  <c r="N43" i="1"/>
  <c r="Q43" i="1"/>
  <c r="M42" i="1"/>
  <c r="L42" i="1"/>
  <c r="K42" i="1"/>
  <c r="N42" i="1"/>
  <c r="Q42" i="1"/>
  <c r="R41" i="1"/>
  <c r="M41" i="1"/>
  <c r="L41" i="1"/>
  <c r="K41" i="1"/>
  <c r="G41" i="1"/>
  <c r="N41" i="1" s="1"/>
  <c r="Q41" i="1"/>
  <c r="O59" i="1" l="1"/>
  <c r="I59" i="1"/>
  <c r="P59" i="1" s="1"/>
  <c r="N58" i="1"/>
  <c r="O58" i="1" s="1"/>
  <c r="N57" i="1"/>
  <c r="O57" i="1" s="1"/>
  <c r="N56" i="1"/>
  <c r="O56" i="1" s="1"/>
  <c r="O55" i="1"/>
  <c r="I55" i="1"/>
  <c r="P55" i="1" s="1"/>
  <c r="I54" i="1"/>
  <c r="P54" i="1" s="1"/>
  <c r="I53" i="1"/>
  <c r="P53" i="1" s="1"/>
  <c r="I52" i="1"/>
  <c r="P52" i="1" s="1"/>
  <c r="I51" i="1"/>
  <c r="P51" i="1" s="1"/>
  <c r="I50" i="1"/>
  <c r="P50" i="1" s="1"/>
  <c r="I49" i="1"/>
  <c r="P49" i="1" s="1"/>
  <c r="I48" i="1"/>
  <c r="P48" i="1" s="1"/>
  <c r="I47" i="1"/>
  <c r="P47" i="1" s="1"/>
  <c r="I46" i="1"/>
  <c r="P46" i="1" s="1"/>
  <c r="I45" i="1"/>
  <c r="P45" i="1" s="1"/>
  <c r="I44" i="1"/>
  <c r="P44" i="1" s="1"/>
  <c r="I43" i="1"/>
  <c r="P43" i="1" s="1"/>
  <c r="P42" i="1"/>
  <c r="I41" i="1"/>
  <c r="P41" i="1" s="1"/>
  <c r="O52" i="1" l="1"/>
  <c r="O54" i="1"/>
  <c r="O53" i="1"/>
  <c r="O51" i="1"/>
  <c r="O49" i="1"/>
  <c r="O50" i="1"/>
  <c r="O48" i="1"/>
  <c r="O44" i="1"/>
  <c r="O47" i="1"/>
  <c r="O46" i="1"/>
  <c r="O45" i="1"/>
  <c r="O43" i="1"/>
  <c r="O42" i="1"/>
  <c r="O41" i="1"/>
  <c r="R40" i="1"/>
  <c r="M40" i="1"/>
  <c r="L40" i="1"/>
  <c r="K40" i="1"/>
  <c r="G40" i="1"/>
  <c r="N40" i="1" s="1"/>
  <c r="Q40" i="1"/>
  <c r="R39" i="1"/>
  <c r="M39" i="1"/>
  <c r="L39" i="1"/>
  <c r="K39" i="1"/>
  <c r="G39" i="1"/>
  <c r="Q39" i="1"/>
  <c r="R38" i="1"/>
  <c r="M38" i="1"/>
  <c r="L38" i="1"/>
  <c r="K38" i="1"/>
  <c r="G38" i="1"/>
  <c r="Q38" i="1"/>
  <c r="R37" i="1"/>
  <c r="M37" i="1"/>
  <c r="L37" i="1"/>
  <c r="K37" i="1"/>
  <c r="G37" i="1"/>
  <c r="Q37" i="1"/>
  <c r="R36" i="1"/>
  <c r="M36" i="1"/>
  <c r="L36" i="1"/>
  <c r="K36" i="1"/>
  <c r="G36" i="1"/>
  <c r="Q36" i="1"/>
  <c r="R35" i="1"/>
  <c r="M35" i="1"/>
  <c r="L35" i="1"/>
  <c r="K35" i="1"/>
  <c r="G35" i="1"/>
  <c r="I35" i="1" s="1"/>
  <c r="P35" i="1" s="1"/>
  <c r="Q35" i="1"/>
  <c r="R34" i="1"/>
  <c r="M34" i="1"/>
  <c r="L34" i="1"/>
  <c r="K34" i="1"/>
  <c r="G34" i="1"/>
  <c r="Q34" i="1"/>
  <c r="R33" i="1"/>
  <c r="M33" i="1"/>
  <c r="L33" i="1"/>
  <c r="K33" i="1"/>
  <c r="G33" i="1"/>
  <c r="Q33" i="1"/>
  <c r="R32" i="1"/>
  <c r="M32" i="1"/>
  <c r="L32" i="1"/>
  <c r="K32" i="1"/>
  <c r="G32" i="1"/>
  <c r="Q32" i="1"/>
  <c r="R31" i="1"/>
  <c r="M31" i="1"/>
  <c r="L31" i="1"/>
  <c r="K31" i="1"/>
  <c r="G31" i="1"/>
  <c r="Q31" i="1"/>
  <c r="R30" i="1"/>
  <c r="M30" i="1"/>
  <c r="L30" i="1"/>
  <c r="K30" i="1"/>
  <c r="G30" i="1"/>
  <c r="Q30" i="1"/>
  <c r="R29" i="1"/>
  <c r="M29" i="1"/>
  <c r="L29" i="1"/>
  <c r="K29" i="1"/>
  <c r="Q29" i="1"/>
  <c r="I29" i="1" l="1"/>
  <c r="P29" i="1" s="1"/>
  <c r="N29" i="1"/>
  <c r="I30" i="1"/>
  <c r="P30" i="1" s="1"/>
  <c r="N30" i="1"/>
  <c r="O30" i="1" s="1"/>
  <c r="I31" i="1"/>
  <c r="P31" i="1" s="1"/>
  <c r="N31" i="1"/>
  <c r="O31" i="1" s="1"/>
  <c r="I32" i="1"/>
  <c r="P32" i="1" s="1"/>
  <c r="N32" i="1"/>
  <c r="I33" i="1"/>
  <c r="P33" i="1" s="1"/>
  <c r="N33" i="1"/>
  <c r="I34" i="1"/>
  <c r="P34" i="1" s="1"/>
  <c r="N34" i="1"/>
  <c r="I36" i="1"/>
  <c r="P36" i="1" s="1"/>
  <c r="N36" i="1"/>
  <c r="O36" i="1" s="1"/>
  <c r="I37" i="1"/>
  <c r="P37" i="1" s="1"/>
  <c r="N37" i="1"/>
  <c r="O37" i="1" s="1"/>
  <c r="I38" i="1"/>
  <c r="P38" i="1" s="1"/>
  <c r="N38" i="1"/>
  <c r="O38" i="1" s="1"/>
  <c r="I39" i="1"/>
  <c r="P39" i="1" s="1"/>
  <c r="N39" i="1"/>
  <c r="O39" i="1" s="1"/>
  <c r="N35" i="1"/>
  <c r="O35" i="1" s="1"/>
  <c r="I40" i="1"/>
  <c r="P40" i="1" s="1"/>
  <c r="O33" i="1" l="1"/>
  <c r="O32" i="1"/>
  <c r="O40" i="1"/>
  <c r="O34" i="1"/>
  <c r="O29" i="1"/>
  <c r="I70" i="1"/>
  <c r="I7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Delhey,Norman N.K.R.</author>
    <author>Planning &amp; Control</author>
  </authors>
  <commentList>
    <comment ref="D12" authorId="0" shapeId="0" xr:uid="{00000000-0006-0000-0000-000001000000}">
      <text>
        <r>
          <rPr>
            <sz val="9"/>
            <color indexed="81"/>
            <rFont val="Tahoma"/>
            <family val="2"/>
          </rPr>
          <t>Indien ICT hulpmiddel en/of software betreft: goedkeuring altijd via Informatimanager</t>
        </r>
      </text>
    </comment>
    <comment ref="D20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Indien het een afdelings bestelling is en dus niet voor een project dan: </t>
        </r>
        <r>
          <rPr>
            <b/>
            <sz val="9"/>
            <color indexed="81"/>
            <rFont val="Tahoma"/>
            <family val="2"/>
          </rPr>
          <t>NVT</t>
        </r>
        <r>
          <rPr>
            <sz val="9"/>
            <color indexed="81"/>
            <rFont val="Tahoma"/>
            <family val="2"/>
          </rPr>
          <t xml:space="preserve"> invullen
</t>
        </r>
      </text>
    </comment>
    <comment ref="I20" authorId="0" shapeId="0" xr:uid="{00000000-0006-0000-0000-000003000000}">
      <text>
        <r>
          <rPr>
            <sz val="9"/>
            <color indexed="81"/>
            <rFont val="Tahoma"/>
            <family val="2"/>
          </rPr>
          <t xml:space="preserve">Voor- &amp; achternaam van medewerker/student
</t>
        </r>
      </text>
    </comment>
    <comment ref="I21" authorId="1" shapeId="0" xr:uid="{00000000-0006-0000-0000-000004000000}">
      <text>
        <r>
          <rPr>
            <sz val="9"/>
            <color indexed="81"/>
            <rFont val="Tahoma"/>
            <family val="2"/>
          </rPr>
          <t>EXPO
PROJ1-E (Elektrotechniek)
PROJ1-M (Mechatronica)
PROJ1-W (Werktuigbouwkunde)
APE78 (Automotive)
S7A (Automotive)
S7E (Elektrotechniek)
S7M (Mechatronica)
S7W (Werktuigbouwkunde)
AR (Adaptive Robotics)
BC (Be Creative)
SPDAM (Smart Product Development with Additive Manufacturing)
DT (Deeltijd)</t>
        </r>
      </text>
    </comment>
    <comment ref="D26" authorId="0" shapeId="0" xr:uid="{00000000-0006-0000-0000-000005000000}">
      <text>
        <r>
          <rPr>
            <sz val="9"/>
            <color indexed="81"/>
            <rFont val="Tahoma"/>
            <family val="2"/>
          </rPr>
          <t>Uitsluitend indien opgevoerd op de investeringslijst. Indien ja: altijd voor 2e goedkeuring via Planning &amp; Control</t>
        </r>
      </text>
    </comment>
    <comment ref="I26" authorId="1" shapeId="0" xr:uid="{00000000-0006-0000-0000-000006000000}">
      <text>
        <r>
          <rPr>
            <sz val="9"/>
            <color indexed="81"/>
            <rFont val="Tahoma"/>
            <family val="2"/>
          </rPr>
          <t>Goederen voor locatie BIC worden vanuit Nexus geleverd
AC - Automotive Campus
BIC - Brainport Industries Campus
NEXUS</t>
        </r>
      </text>
    </comment>
    <comment ref="A74" authorId="1" shapeId="0" xr:uid="{00000000-0006-0000-0000-000007000000}">
      <text>
        <r>
          <rPr>
            <sz val="9"/>
            <color indexed="81"/>
            <rFont val="Tahoma"/>
            <family val="2"/>
          </rPr>
          <t xml:space="preserve">Bedragen &gt;€5000 altijd naar: planningencontrol-engineering@fontys.nl
</t>
        </r>
      </text>
    </comment>
  </commentList>
</comments>
</file>

<file path=xl/sharedStrings.xml><?xml version="1.0" encoding="utf-8"?>
<sst xmlns="http://schemas.openxmlformats.org/spreadsheetml/2006/main" count="301" uniqueCount="232">
  <si>
    <t>Suppliers</t>
  </si>
  <si>
    <t>Projecten</t>
  </si>
  <si>
    <t>docent</t>
  </si>
  <si>
    <t>Ja</t>
  </si>
  <si>
    <t>nl.rs-online.com</t>
  </si>
  <si>
    <t>EXPO</t>
  </si>
  <si>
    <t>Only use integers!</t>
  </si>
  <si>
    <t>Nee</t>
  </si>
  <si>
    <t>nl.farnell.com</t>
  </si>
  <si>
    <t>PROJ2</t>
  </si>
  <si>
    <t>conrad.nl</t>
  </si>
  <si>
    <t>SIM</t>
  </si>
  <si>
    <t>FOR 05-01: Aanvraag tot bestelling (V2.51)</t>
  </si>
  <si>
    <t>Materiele inkoop</t>
  </si>
  <si>
    <t>tinytronics.nl</t>
  </si>
  <si>
    <t>S6 minor wrist</t>
  </si>
  <si>
    <t>ICT hulpmiddel</t>
  </si>
  <si>
    <t>leds-buy.nl</t>
  </si>
  <si>
    <t>EDT</t>
  </si>
  <si>
    <t>Software</t>
  </si>
  <si>
    <t>reprapworld.nl</t>
  </si>
  <si>
    <t>Anders</t>
  </si>
  <si>
    <t>Gegevens</t>
  </si>
  <si>
    <t>Nexus</t>
  </si>
  <si>
    <t>Niet regulier</t>
  </si>
  <si>
    <r>
      <t xml:space="preserve">Datum </t>
    </r>
    <r>
      <rPr>
        <sz val="10"/>
        <color rgb="FFFF0000"/>
        <rFont val="Arial"/>
        <family val="2"/>
      </rPr>
      <t>(*)</t>
    </r>
  </si>
  <si>
    <t>11-04-2023</t>
  </si>
  <si>
    <t>AC</t>
  </si>
  <si>
    <t>Bedrijfsnaam</t>
  </si>
  <si>
    <t>Inkoop nummer</t>
  </si>
  <si>
    <t>BIC</t>
  </si>
  <si>
    <t>Naam contact</t>
  </si>
  <si>
    <r>
      <t>Type artikel</t>
    </r>
    <r>
      <rPr>
        <sz val="10"/>
        <color rgb="FFFF0000"/>
        <rFont val="Arial"/>
        <family val="2"/>
      </rPr>
      <t xml:space="preserve"> (*)</t>
    </r>
  </si>
  <si>
    <t>?</t>
  </si>
  <si>
    <t>Telefoon</t>
  </si>
  <si>
    <t xml:space="preserve"> </t>
  </si>
  <si>
    <t>Email</t>
  </si>
  <si>
    <t>Aanvrager info</t>
  </si>
  <si>
    <t>Adres</t>
  </si>
  <si>
    <r>
      <t>Voorletters</t>
    </r>
    <r>
      <rPr>
        <sz val="10"/>
        <color rgb="FFFF0000"/>
        <rFont val="Arial"/>
        <family val="2"/>
      </rPr>
      <t xml:space="preserve"> (*)</t>
    </r>
  </si>
  <si>
    <t>Postcode, stad</t>
  </si>
  <si>
    <r>
      <t>Achternaam</t>
    </r>
    <r>
      <rPr>
        <sz val="10"/>
        <color rgb="FFFF0000"/>
        <rFont val="Arial"/>
        <family val="2"/>
      </rPr>
      <t xml:space="preserve"> (*)</t>
    </r>
  </si>
  <si>
    <t>Land</t>
  </si>
  <si>
    <t>Offertenummer</t>
  </si>
  <si>
    <r>
      <t>Kostenplaats</t>
    </r>
    <r>
      <rPr>
        <sz val="10"/>
        <color rgb="FFFF0000"/>
        <rFont val="Arial"/>
        <family val="2"/>
      </rPr>
      <t xml:space="preserve"> (*)</t>
    </r>
  </si>
  <si>
    <t>043800 - Elektrotechniek</t>
  </si>
  <si>
    <t>Ontvanger info</t>
  </si>
  <si>
    <r>
      <t xml:space="preserve">Deelproject nummer </t>
    </r>
    <r>
      <rPr>
        <sz val="10"/>
        <color rgb="FFFF0000"/>
        <rFont val="Arial"/>
        <family val="2"/>
      </rPr>
      <t>(*)</t>
    </r>
  </si>
  <si>
    <t>Bestelling te leveren aan</t>
  </si>
  <si>
    <t>Ruimte voor opmerkingen</t>
  </si>
  <si>
    <r>
      <t xml:space="preserve">PCN </t>
    </r>
    <r>
      <rPr>
        <sz val="10"/>
        <color rgb="FFFF0000"/>
        <rFont val="Arial"/>
        <family val="2"/>
      </rPr>
      <t>(*)</t>
    </r>
  </si>
  <si>
    <r>
      <t xml:space="preserve">E-mail </t>
    </r>
    <r>
      <rPr>
        <sz val="10"/>
        <color rgb="FFFF0000"/>
        <rFont val="Arial"/>
        <family val="2"/>
      </rPr>
      <t>(*)</t>
    </r>
  </si>
  <si>
    <t>Investering</t>
  </si>
  <si>
    <t>Kapitaal investering</t>
  </si>
  <si>
    <t>Gewenste afleverlocatie</t>
  </si>
  <si>
    <r>
      <t xml:space="preserve">Velden met een </t>
    </r>
    <r>
      <rPr>
        <sz val="8"/>
        <color rgb="FFFF0000"/>
        <rFont val="Arial"/>
        <family val="2"/>
      </rPr>
      <t>(*)</t>
    </r>
    <r>
      <rPr>
        <sz val="8"/>
        <color theme="1"/>
        <rFont val="Arial"/>
        <family val="2"/>
      </rPr>
      <t xml:space="preserve"> zijn verplicht</t>
    </r>
  </si>
  <si>
    <t>Item</t>
  </si>
  <si>
    <t>Leverancier</t>
  </si>
  <si>
    <t>Artikel code</t>
  </si>
  <si>
    <t>Hoeveelheid</t>
  </si>
  <si>
    <t>Aanvrager</t>
  </si>
  <si>
    <t>Omschrijving (geen links)</t>
  </si>
  <si>
    <t xml:space="preserve">Inkoop nummer </t>
  </si>
  <si>
    <t>Item prijs (excl.BTW)</t>
  </si>
  <si>
    <t>Totale prijs</t>
  </si>
  <si>
    <t>BoolDisFout</t>
  </si>
  <si>
    <t>BoolDisLeeg</t>
  </si>
  <si>
    <t>BoolOrderLeeg</t>
  </si>
  <si>
    <t>BoolQuantLeeg</t>
  </si>
  <si>
    <t>BoolRowLeeg</t>
  </si>
  <si>
    <t>BoolRowCorrect</t>
  </si>
  <si>
    <t>BoolPriceError</t>
  </si>
  <si>
    <t>BoolProjTeamLeeg</t>
  </si>
  <si>
    <t>Kolom1</t>
  </si>
  <si>
    <t>nl.mouser.com</t>
  </si>
  <si>
    <t>Totaal excl. BTW</t>
  </si>
  <si>
    <t>Totaal incl. BTW.</t>
  </si>
  <si>
    <t>Budgethouder:</t>
  </si>
  <si>
    <t>2e ondertekenaar:</t>
  </si>
  <si>
    <t>Messages</t>
  </si>
  <si>
    <t>Only use integers! Convert alphabets to numbers A=1 &amp; D=4 etc. If non is available put 0</t>
  </si>
  <si>
    <t>PROJ1</t>
  </si>
  <si>
    <t>use the dropdown menu ====&gt;</t>
  </si>
  <si>
    <t>use before entering number ' apostrophe</t>
  </si>
  <si>
    <t>S7E</t>
  </si>
  <si>
    <t>Use the menu =====&gt;&gt;&gt;</t>
  </si>
  <si>
    <t>S7M</t>
  </si>
  <si>
    <t>S7W</t>
  </si>
  <si>
    <t>technischeunie.nl</t>
  </si>
  <si>
    <t>S7A</t>
  </si>
  <si>
    <t>makerpoint.nl</t>
  </si>
  <si>
    <t>INSTELLINGEN BESTELFORMULIER MEDEWERKERS</t>
  </si>
  <si>
    <t>NAAM</t>
  </si>
  <si>
    <t>ONDERTEKEND?</t>
  </si>
  <si>
    <t>Tekenaar1</t>
  </si>
  <si>
    <t xml:space="preserve">  --- deze wordt opgehaald uit het systeem ---</t>
  </si>
  <si>
    <t>Mogelijke tweede Tekenaars</t>
  </si>
  <si>
    <t>HET EMAILADRES VAN DE INFORMATIEMANAGER HIERONDER INVULLEN</t>
  </si>
  <si>
    <t>VERSTUURD NAAR:</t>
  </si>
  <si>
    <t>x.vanhien@fontys.nl</t>
  </si>
  <si>
    <t>Kostenplaatsen</t>
  </si>
  <si>
    <t>Projectcodes</t>
  </si>
  <si>
    <t>Leveranciers</t>
  </si>
  <si>
    <t>00043 - Engineering</t>
  </si>
  <si>
    <t>043000 - Algemeen</t>
  </si>
  <si>
    <t>043001 - Bedrijfsbureau</t>
  </si>
  <si>
    <t>043002 - Laboratoria</t>
  </si>
  <si>
    <t>043003 - Staf &amp; Ondersteuning</t>
  </si>
  <si>
    <t>043010 - Marketing &amp; Communicatie</t>
  </si>
  <si>
    <t>043050 - Lectoraat Smart Manufacturing</t>
  </si>
  <si>
    <t>043100 - Externe projecten</t>
  </si>
  <si>
    <t>043300 - Toegepaste wiskunde</t>
  </si>
  <si>
    <t>043350 - Onderzoekslijn TW</t>
  </si>
  <si>
    <t>123-3d.nl</t>
  </si>
  <si>
    <t>043400 - Automotive</t>
  </si>
  <si>
    <t>123inkt.nl</t>
  </si>
  <si>
    <t>043450 - Onderzoekslijn FPT</t>
  </si>
  <si>
    <t>antratek.nl</t>
  </si>
  <si>
    <t>043600 - Mechatronica</t>
  </si>
  <si>
    <t>bechtle.com</t>
  </si>
  <si>
    <t>043650 - Onderzoekslijn AR</t>
  </si>
  <si>
    <t>bol.com</t>
  </si>
  <si>
    <t>043700 - Werktuigbouwkunde</t>
  </si>
  <si>
    <t>distrelec.nl</t>
  </si>
  <si>
    <t>043750 - Onderzoekslijn AM</t>
  </si>
  <si>
    <t>engelslogistiek.nl</t>
  </si>
  <si>
    <t>graveermaterialen.nl</t>
  </si>
  <si>
    <t>043850 - Onderzoekslijn DSS</t>
  </si>
  <si>
    <t>kiwi-electronics.nl</t>
  </si>
  <si>
    <t>043900 - Centre of Expertise HTSM</t>
  </si>
  <si>
    <t>manutan.nl</t>
  </si>
  <si>
    <t>043910 - Pulsed (TEC)</t>
  </si>
  <si>
    <t>maxonmotor.nl</t>
  </si>
  <si>
    <t>supermagnete.nl</t>
  </si>
  <si>
    <t>tooltronics.nl</t>
  </si>
  <si>
    <t>amatec.nl</t>
  </si>
  <si>
    <t>fabory.com</t>
  </si>
  <si>
    <t>mcb.eu</t>
  </si>
  <si>
    <t>mroshop.com</t>
  </si>
  <si>
    <t>ts-projecten.nl</t>
  </si>
  <si>
    <t>uk.misumi-ec.com</t>
  </si>
  <si>
    <t>verheggen.com</t>
  </si>
  <si>
    <t>ZWdrxpS3K0qE7YRbNBwIalfvBeI0cflPqZMzLD3IGzxUMjRYNks0VDhORDRDN0NGTkpQUzFZUFhVVS4u</t>
  </si>
  <si>
    <t>Form1</t>
  </si>
  <si>
    <t>{b839babe-035c-434a-874b-a80ab40259a4}</t>
  </si>
  <si>
    <t>R.J.A.W.</t>
  </si>
  <si>
    <t>van den Dungen</t>
  </si>
  <si>
    <t>Robin van den Dungen</t>
  </si>
  <si>
    <t>458619@student.fontys.nl</t>
  </si>
  <si>
    <t>+31 6 46858842</t>
  </si>
  <si>
    <t>11539-101</t>
  </si>
  <si>
    <t>BeCreative project Audio DSP (BC1).</t>
  </si>
  <si>
    <t>10uF, X7R, 1210</t>
  </si>
  <si>
    <t>47pF, C0G, 0402</t>
  </si>
  <si>
    <t>100nF, X7R, 0402</t>
  </si>
  <si>
    <t>22uF, Elec, D5 P2</t>
  </si>
  <si>
    <t>680pF, C0G, 0805</t>
  </si>
  <si>
    <t>1nF, C0G, 0805</t>
  </si>
  <si>
    <t>2,2nF, C0G, 0805</t>
  </si>
  <si>
    <t>3,3nF, C0G, 0805</t>
  </si>
  <si>
    <t>1,5nF, C0G, 0805</t>
  </si>
  <si>
    <t>2,7nF, C0G, 0805</t>
  </si>
  <si>
    <t>710-860010472003</t>
  </si>
  <si>
    <t>81-GRM155R71H104KE4D</t>
  </si>
  <si>
    <t>710-885012007039</t>
  </si>
  <si>
    <t>1uF, X7R, 0805</t>
  </si>
  <si>
    <t>81-GRM155Z71A105KE1D</t>
  </si>
  <si>
    <t>80-C0805C102J5G</t>
  </si>
  <si>
    <t>187-CL21C222JBFNNNG</t>
  </si>
  <si>
    <t>81-GRM215C1H332JA01J</t>
  </si>
  <si>
    <t>81-GRM2165C2A152JA1D</t>
  </si>
  <si>
    <t>81-GCM2165C2A272JA6J</t>
  </si>
  <si>
    <t>187-CL32B106KBJNNNE</t>
  </si>
  <si>
    <t>81-GRM1555C1H470JA1D</t>
  </si>
  <si>
    <t>4,7nF, C0G, 0805</t>
  </si>
  <si>
    <t>667-ERA-6ARW102V</t>
  </si>
  <si>
    <t>81-GRM215C1H472JA01D</t>
  </si>
  <si>
    <t>791-RMC1/10-100JTP</t>
  </si>
  <si>
    <t>667-ERA-6AED103V</t>
  </si>
  <si>
    <t>667-ERA-6AHD390V</t>
  </si>
  <si>
    <t>10R, 0805</t>
  </si>
  <si>
    <t>39R, ERA, 0805</t>
  </si>
  <si>
    <t>4,7R, 0805</t>
  </si>
  <si>
    <t>667-ERA-6AEB472V</t>
  </si>
  <si>
    <t>4,7kR, ERA, 0805</t>
  </si>
  <si>
    <t>603-RC0805JR-074R7L</t>
  </si>
  <si>
    <t>667-ERA-6AEB473V</t>
  </si>
  <si>
    <t>47kR, ERA, 0805</t>
  </si>
  <si>
    <t>833-1N4148WX-TP</t>
  </si>
  <si>
    <t>1N4148, SOD-323</t>
  </si>
  <si>
    <t>504-STS321050B100</t>
  </si>
  <si>
    <t>TVS 5V, SOD-323</t>
  </si>
  <si>
    <t>80-EA2-12NU</t>
  </si>
  <si>
    <t>750-CPDT-12V</t>
  </si>
  <si>
    <t>TVS 12V, SOT23</t>
  </si>
  <si>
    <t>000617</t>
  </si>
  <si>
    <t>004212</t>
  </si>
  <si>
    <t>JST PH-3 con</t>
  </si>
  <si>
    <t>JST PH-3 cable</t>
  </si>
  <si>
    <t>JST PH-2 con</t>
  </si>
  <si>
    <t>JST PH-2 cable</t>
  </si>
  <si>
    <t>001657</t>
  </si>
  <si>
    <t>004214</t>
  </si>
  <si>
    <t>004176</t>
  </si>
  <si>
    <t>004204</t>
  </si>
  <si>
    <t>000529</t>
  </si>
  <si>
    <t>5,5mm jack 90deg</t>
  </si>
  <si>
    <t>Phoe 3.81mm-2 PCB</t>
  </si>
  <si>
    <t>Phoe 3.81mm-2 Term</t>
  </si>
  <si>
    <t>JST PH-6 con</t>
  </si>
  <si>
    <t>JST PH-6 to UI cable</t>
  </si>
  <si>
    <t>003164</t>
  </si>
  <si>
    <t>9492453</t>
  </si>
  <si>
    <t>002020</t>
  </si>
  <si>
    <t>JST XH-5 con+cable</t>
  </si>
  <si>
    <t>VU-LEDs</t>
  </si>
  <si>
    <t>000099</t>
  </si>
  <si>
    <t>Relays</t>
  </si>
  <si>
    <t>BC847</t>
  </si>
  <si>
    <t>BC857</t>
  </si>
  <si>
    <t>771-BC847C-T/R</t>
  </si>
  <si>
    <t>833-BC857B-TP</t>
  </si>
  <si>
    <t>22R, ERA, 0805</t>
  </si>
  <si>
    <t>667-ERA-6AEB821V</t>
  </si>
  <si>
    <t>820, ERA, 0805</t>
  </si>
  <si>
    <t>667-ERA-6ARB432V</t>
  </si>
  <si>
    <t>4,3k, ERA, 0805</t>
  </si>
  <si>
    <t>667-ERA-6AHD220V</t>
  </si>
  <si>
    <t>667-ERA-6AED272V</t>
  </si>
  <si>
    <t>2,7kR, ERA, 0805</t>
  </si>
  <si>
    <t>10kR, ERA, 0805 (4 ERA, 20std)</t>
  </si>
  <si>
    <t>1kR, ERA, 0805 (24 ERA, 17std)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</si>
</sst>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€&quot;\ #,##0.00;[Red]&quot;€&quot;\ \-#,##0.00"/>
    <numFmt numFmtId="164" formatCode="_(&quot;€&quot;* #,##0.00_);_(&quot;€&quot;* \(#,##0.00\);_(&quot;€&quot;* &quot;-&quot;??_);_(@_)"/>
    <numFmt numFmtId="165" formatCode="_-&quot;€&quot;\ * #,##0.00_-;_-&quot;€&quot;\ * #,##0.00\-;_-&quot;€&quot;\ * &quot;-&quot;??_-;_-@_-"/>
    <numFmt numFmtId="166" formatCode="&quot;€&quot;\ #,##0.00"/>
  </numFmts>
  <fonts count="23" x14ac:knownFonts="1">
    <font>
      <sz val="10"/>
      <color theme="1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663366"/>
      <name val="Arial"/>
      <family val="2"/>
    </font>
    <font>
      <b/>
      <sz val="10"/>
      <name val="Arial"/>
      <family val="2"/>
    </font>
    <font>
      <sz val="10"/>
      <color rgb="FF333745"/>
      <name val="Arial"/>
      <family val="2"/>
    </font>
    <font>
      <b/>
      <sz val="12"/>
      <color theme="0"/>
      <name val="Arial"/>
      <family val="2"/>
    </font>
    <font>
      <sz val="9"/>
      <color indexed="81"/>
      <name val="Tahoma"/>
      <family val="2"/>
    </font>
    <font>
      <b/>
      <sz val="10"/>
      <color rgb="FF663366"/>
      <name val="Arial"/>
      <family val="2"/>
    </font>
    <font>
      <sz val="8"/>
      <color theme="1"/>
      <name val="Arial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b/>
      <sz val="8"/>
      <name val="Arial"/>
      <family val="2"/>
    </font>
    <font>
      <b/>
      <sz val="36"/>
      <name val="Kunstler Script"/>
      <family val="4"/>
    </font>
    <font>
      <sz val="8"/>
      <color rgb="FFFF0000"/>
      <name val="Arial"/>
      <family val="2"/>
    </font>
    <font>
      <sz val="7"/>
      <color rgb="FF333333"/>
      <name val="Roboto"/>
    </font>
    <font>
      <b/>
      <sz val="9"/>
      <color rgb="FF000000"/>
      <name val="Arial"/>
      <family val="2"/>
    </font>
    <font>
      <sz val="10"/>
      <color rgb="FF000000"/>
      <name val="Arial"/>
      <family val="2"/>
    </font>
    <font>
      <sz val="10"/>
      <color rgb="FF333333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6633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/>
      <right/>
      <top style="medium">
        <color rgb="FF663366"/>
      </top>
      <bottom/>
      <diagonal/>
    </border>
    <border>
      <left/>
      <right style="medium">
        <color rgb="FF663366"/>
      </right>
      <top style="medium">
        <color rgb="FF663366"/>
      </top>
      <bottom/>
      <diagonal/>
    </border>
    <border>
      <left/>
      <right style="medium">
        <color rgb="FF663366"/>
      </right>
      <top/>
      <bottom/>
      <diagonal/>
    </border>
    <border>
      <left/>
      <right/>
      <top/>
      <bottom style="medium">
        <color rgb="FF663366"/>
      </bottom>
      <diagonal/>
    </border>
    <border>
      <left/>
      <right style="medium">
        <color rgb="FF663366"/>
      </right>
      <top/>
      <bottom style="medium">
        <color rgb="FF663366"/>
      </bottom>
      <diagonal/>
    </border>
    <border>
      <left style="medium">
        <color rgb="FF663366"/>
      </left>
      <right/>
      <top style="medium">
        <color rgb="FF663366"/>
      </top>
      <bottom/>
      <diagonal/>
    </border>
    <border>
      <left style="medium">
        <color rgb="FF663366"/>
      </left>
      <right/>
      <top/>
      <bottom/>
      <diagonal/>
    </border>
    <border>
      <left style="medium">
        <color rgb="FF663366"/>
      </left>
      <right/>
      <top/>
      <bottom style="medium">
        <color rgb="FF663366"/>
      </bottom>
      <diagonal/>
    </border>
    <border>
      <left style="medium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 style="thin">
        <color rgb="FF663366"/>
      </bottom>
      <diagonal/>
    </border>
    <border>
      <left/>
      <right/>
      <top/>
      <bottom style="thin">
        <color rgb="FF663366"/>
      </bottom>
      <diagonal/>
    </border>
    <border>
      <left/>
      <right style="thin">
        <color rgb="FF663366"/>
      </right>
      <top/>
      <bottom/>
      <diagonal/>
    </border>
    <border>
      <left style="medium">
        <color rgb="FF663366"/>
      </left>
      <right/>
      <top/>
      <bottom style="thin">
        <color rgb="FF66336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663366"/>
      </top>
      <bottom style="thin">
        <color rgb="FF663366"/>
      </bottom>
      <diagonal/>
    </border>
    <border>
      <left/>
      <right/>
      <top style="thin">
        <color rgb="FF663366"/>
      </top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rgb="FF663366"/>
      </left>
      <right style="thin">
        <color rgb="FF663366"/>
      </right>
      <top style="thin">
        <color rgb="FF663366"/>
      </top>
      <bottom/>
      <diagonal/>
    </border>
    <border>
      <left style="thin">
        <color theme="0"/>
      </left>
      <right style="thin">
        <color theme="0"/>
      </right>
      <top style="thin">
        <color rgb="FF663366"/>
      </top>
      <bottom style="thin">
        <color theme="0"/>
      </bottom>
      <diagonal/>
    </border>
    <border>
      <left style="thin">
        <color theme="0"/>
      </left>
      <right style="thin">
        <color rgb="FF663366"/>
      </right>
      <top style="thin">
        <color rgb="FF663366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/>
      <diagonal/>
    </border>
    <border>
      <left style="thin">
        <color theme="0"/>
      </left>
      <right style="thin">
        <color rgb="FF663366"/>
      </right>
      <top style="thin">
        <color theme="0"/>
      </top>
      <bottom style="thin">
        <color theme="0"/>
      </bottom>
      <diagonal/>
    </border>
    <border>
      <left style="thin">
        <color rgb="FF663366"/>
      </left>
      <right style="thin">
        <color rgb="FF663366"/>
      </right>
      <top/>
      <bottom style="thin">
        <color rgb="FF663366"/>
      </bottom>
      <diagonal/>
    </border>
    <border>
      <left style="medium">
        <color rgb="FF663366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 style="medium">
        <color theme="0"/>
      </right>
      <top style="thin">
        <color rgb="FF663366"/>
      </top>
      <bottom style="thin">
        <color rgb="FF663366"/>
      </bottom>
      <diagonal/>
    </border>
    <border>
      <left style="medium">
        <color theme="0"/>
      </left>
      <right/>
      <top/>
      <bottom/>
      <diagonal/>
    </border>
    <border>
      <left style="thin">
        <color rgb="FF663366"/>
      </left>
      <right/>
      <top/>
      <bottom style="thin">
        <color theme="0"/>
      </bottom>
      <diagonal/>
    </border>
    <border>
      <left style="thin">
        <color indexed="64"/>
      </left>
      <right style="thin">
        <color rgb="FF663366"/>
      </right>
      <top/>
      <bottom/>
      <diagonal/>
    </border>
    <border>
      <left style="medium">
        <color rgb="FF663366"/>
      </left>
      <right/>
      <top style="thin">
        <color rgb="FF663366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</borders>
  <cellStyleXfs count="4">
    <xf numFmtId="0" fontId="0" fillId="0" borderId="0"/>
    <xf numFmtId="0" fontId="1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7">
    <xf numFmtId="0" fontId="0" fillId="0" borderId="0" xfId="0"/>
    <xf numFmtId="49" fontId="0" fillId="0" borderId="0" xfId="0" applyNumberFormat="1"/>
    <xf numFmtId="0" fontId="3" fillId="0" borderId="0" xfId="0" applyFont="1"/>
    <xf numFmtId="0" fontId="0" fillId="0" borderId="0" xfId="0" quotePrefix="1"/>
    <xf numFmtId="0" fontId="1" fillId="0" borderId="0" xfId="1"/>
    <xf numFmtId="0" fontId="1" fillId="0" borderId="0" xfId="3" applyFont="1" applyFill="1" applyBorder="1" applyAlignment="1" applyProtection="1"/>
    <xf numFmtId="0" fontId="8" fillId="0" borderId="0" xfId="1" applyFont="1" applyAlignment="1">
      <alignment horizontal="left"/>
    </xf>
    <xf numFmtId="0" fontId="1" fillId="0" borderId="0" xfId="1" applyAlignment="1" applyProtection="1">
      <alignment horizontal="left"/>
      <protection hidden="1"/>
    </xf>
    <xf numFmtId="166" fontId="8" fillId="0" borderId="0" xfId="1" applyNumberFormat="1" applyFont="1" applyAlignment="1">
      <alignment horizontal="left"/>
    </xf>
    <xf numFmtId="164" fontId="1" fillId="0" borderId="0" xfId="1" applyNumberFormat="1"/>
    <xf numFmtId="0" fontId="7" fillId="2" borderId="6" xfId="0" applyFont="1" applyFill="1" applyBorder="1"/>
    <xf numFmtId="0" fontId="7" fillId="2" borderId="1" xfId="0" applyFont="1" applyFill="1" applyBorder="1"/>
    <xf numFmtId="0" fontId="7" fillId="2" borderId="7" xfId="0" applyFont="1" applyFill="1" applyBorder="1"/>
    <xf numFmtId="0" fontId="7" fillId="2" borderId="0" xfId="0" applyFont="1" applyFill="1"/>
    <xf numFmtId="166" fontId="1" fillId="0" borderId="3" xfId="1" applyNumberFormat="1" applyBorder="1" applyAlignment="1" applyProtection="1">
      <alignment horizontal="left"/>
      <protection hidden="1"/>
    </xf>
    <xf numFmtId="0" fontId="4" fillId="0" borderId="7" xfId="1" applyFont="1" applyBorder="1" applyAlignment="1">
      <alignment horizontal="left"/>
    </xf>
    <xf numFmtId="0" fontId="4" fillId="0" borderId="0" xfId="1" applyFont="1" applyAlignment="1">
      <alignment horizontal="left"/>
    </xf>
    <xf numFmtId="0" fontId="4" fillId="0" borderId="3" xfId="1" applyFont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0" borderId="0" xfId="1" applyAlignment="1">
      <alignment horizontal="center"/>
    </xf>
    <xf numFmtId="1" fontId="1" fillId="0" borderId="0" xfId="1" applyNumberFormat="1" applyAlignment="1">
      <alignment horizontal="center"/>
    </xf>
    <xf numFmtId="0" fontId="10" fillId="2" borderId="0" xfId="0" applyFont="1" applyFill="1" applyAlignment="1">
      <alignment horizontal="left"/>
    </xf>
    <xf numFmtId="0" fontId="8" fillId="4" borderId="7" xfId="1" applyFont="1" applyFill="1" applyBorder="1" applyAlignment="1">
      <alignment horizontal="left"/>
    </xf>
    <xf numFmtId="0" fontId="8" fillId="4" borderId="0" xfId="1" applyFont="1" applyFill="1" applyAlignment="1">
      <alignment horizontal="left"/>
    </xf>
    <xf numFmtId="166" fontId="8" fillId="4" borderId="0" xfId="1" applyNumberFormat="1" applyFont="1" applyFill="1" applyAlignment="1">
      <alignment horizontal="left"/>
    </xf>
    <xf numFmtId="0" fontId="8" fillId="4" borderId="3" xfId="1" applyFont="1" applyFill="1" applyBorder="1" applyAlignment="1">
      <alignment horizontal="left"/>
    </xf>
    <xf numFmtId="166" fontId="8" fillId="4" borderId="3" xfId="1" applyNumberFormat="1" applyFont="1" applyFill="1" applyBorder="1" applyAlignment="1">
      <alignment horizontal="left"/>
    </xf>
    <xf numFmtId="0" fontId="8" fillId="4" borderId="8" xfId="1" applyFont="1" applyFill="1" applyBorder="1" applyAlignment="1">
      <alignment horizontal="left"/>
    </xf>
    <xf numFmtId="0" fontId="8" fillId="4" borderId="4" xfId="1" applyFont="1" applyFill="1" applyBorder="1" applyAlignment="1">
      <alignment horizontal="left"/>
    </xf>
    <xf numFmtId="166" fontId="8" fillId="4" borderId="4" xfId="1" applyNumberFormat="1" applyFont="1" applyFill="1" applyBorder="1" applyAlignment="1">
      <alignment horizontal="left"/>
    </xf>
    <xf numFmtId="0" fontId="8" fillId="4" borderId="5" xfId="1" applyFont="1" applyFill="1" applyBorder="1" applyAlignment="1">
      <alignment horizontal="left"/>
    </xf>
    <xf numFmtId="0" fontId="0" fillId="4" borderId="7" xfId="0" applyFill="1" applyBorder="1"/>
    <xf numFmtId="0" fontId="0" fillId="4" borderId="0" xfId="0" applyFill="1"/>
    <xf numFmtId="0" fontId="0" fillId="4" borderId="3" xfId="0" applyFill="1" applyBorder="1"/>
    <xf numFmtId="0" fontId="5" fillId="4" borderId="7" xfId="0" applyFont="1" applyFill="1" applyBorder="1"/>
    <xf numFmtId="0" fontId="5" fillId="4" borderId="0" xfId="0" applyFont="1" applyFill="1"/>
    <xf numFmtId="0" fontId="0" fillId="4" borderId="10" xfId="0" applyFill="1" applyBorder="1"/>
    <xf numFmtId="0" fontId="5" fillId="4" borderId="13" xfId="0" applyFont="1" applyFill="1" applyBorder="1"/>
    <xf numFmtId="0" fontId="0" fillId="4" borderId="11" xfId="0" applyFill="1" applyBorder="1"/>
    <xf numFmtId="0" fontId="0" fillId="4" borderId="11" xfId="0" applyFill="1" applyBorder="1" applyAlignment="1">
      <alignment horizontal="left"/>
    </xf>
    <xf numFmtId="0" fontId="12" fillId="4" borderId="0" xfId="0" applyFont="1" applyFill="1" applyAlignment="1">
      <alignment horizontal="center"/>
    </xf>
    <xf numFmtId="0" fontId="0" fillId="4" borderId="0" xfId="0" applyFill="1" applyAlignment="1">
      <alignment horizontal="left"/>
    </xf>
    <xf numFmtId="0" fontId="12" fillId="4" borderId="0" xfId="0" applyFont="1" applyFill="1"/>
    <xf numFmtId="0" fontId="5" fillId="4" borderId="0" xfId="0" applyFont="1" applyFill="1" applyAlignment="1">
      <alignment horizontal="center" vertical="center" wrapText="1"/>
    </xf>
    <xf numFmtId="0" fontId="12" fillId="4" borderId="15" xfId="0" applyFont="1" applyFill="1" applyBorder="1" applyAlignment="1">
      <alignment horizontal="center"/>
    </xf>
    <xf numFmtId="0" fontId="8" fillId="0" borderId="0" xfId="1" applyFont="1" applyAlignment="1">
      <alignment horizontal="right"/>
    </xf>
    <xf numFmtId="0" fontId="0" fillId="4" borderId="16" xfId="0" applyFill="1" applyBorder="1" applyAlignment="1">
      <alignment horizontal="left"/>
    </xf>
    <xf numFmtId="0" fontId="0" fillId="4" borderId="18" xfId="0" applyFill="1" applyBorder="1"/>
    <xf numFmtId="0" fontId="0" fillId="4" borderId="18" xfId="0" quotePrefix="1" applyFill="1" applyBorder="1" applyAlignment="1">
      <alignment horizontal="left"/>
    </xf>
    <xf numFmtId="0" fontId="0" fillId="4" borderId="19" xfId="0" applyFill="1" applyBorder="1"/>
    <xf numFmtId="0" fontId="0" fillId="4" borderId="19" xfId="0" applyFill="1" applyBorder="1" applyAlignment="1">
      <alignment horizontal="left"/>
    </xf>
    <xf numFmtId="0" fontId="5" fillId="4" borderId="11" xfId="0" applyFont="1" applyFill="1" applyBorder="1"/>
    <xf numFmtId="0" fontId="8" fillId="4" borderId="20" xfId="1" applyFont="1" applyFill="1" applyBorder="1" applyAlignment="1">
      <alignment horizontal="left"/>
    </xf>
    <xf numFmtId="0" fontId="16" fillId="4" borderId="0" xfId="1" applyFont="1" applyFill="1" applyAlignment="1">
      <alignment horizontal="left"/>
    </xf>
    <xf numFmtId="0" fontId="1" fillId="5" borderId="0" xfId="1" applyFill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0" fillId="2" borderId="0" xfId="0" applyFill="1"/>
    <xf numFmtId="0" fontId="0" fillId="0" borderId="12" xfId="0" applyBorder="1"/>
    <xf numFmtId="0" fontId="5" fillId="0" borderId="0" xfId="0" applyFont="1" applyAlignment="1">
      <alignment horizontal="center"/>
    </xf>
    <xf numFmtId="0" fontId="0" fillId="6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8" fillId="0" borderId="0" xfId="1" applyFont="1" applyAlignment="1" applyProtection="1">
      <alignment horizontal="left"/>
      <protection hidden="1"/>
    </xf>
    <xf numFmtId="0" fontId="0" fillId="0" borderId="0" xfId="0" applyProtection="1">
      <protection hidden="1"/>
    </xf>
    <xf numFmtId="0" fontId="0" fillId="4" borderId="9" xfId="0" applyFill="1" applyBorder="1"/>
    <xf numFmtId="0" fontId="17" fillId="4" borderId="20" xfId="1" applyFont="1" applyFill="1" applyBorder="1" applyAlignment="1">
      <alignment horizontal="left"/>
    </xf>
    <xf numFmtId="0" fontId="5" fillId="8" borderId="0" xfId="0" applyFont="1" applyFill="1"/>
    <xf numFmtId="0" fontId="1" fillId="5" borderId="7" xfId="1" applyFill="1" applyBorder="1" applyAlignment="1" applyProtection="1">
      <alignment horizontal="left"/>
      <protection locked="0"/>
    </xf>
    <xf numFmtId="0" fontId="1" fillId="5" borderId="0" xfId="1" applyFill="1" applyAlignment="1" applyProtection="1">
      <alignment horizontal="left"/>
      <protection locked="0"/>
    </xf>
    <xf numFmtId="49" fontId="0" fillId="5" borderId="0" xfId="1" quotePrefix="1" applyNumberFormat="1" applyFont="1" applyFill="1" applyAlignment="1" applyProtection="1">
      <alignment horizontal="left"/>
      <protection locked="0"/>
    </xf>
    <xf numFmtId="0" fontId="1" fillId="5" borderId="0" xfId="1" applyFill="1" applyAlignment="1" applyProtection="1">
      <alignment horizontal="center"/>
      <protection locked="0"/>
    </xf>
    <xf numFmtId="0" fontId="9" fillId="5" borderId="0" xfId="0" applyFont="1" applyFill="1" applyAlignment="1" applyProtection="1">
      <alignment horizontal="left" vertical="center" wrapText="1"/>
      <protection locked="0"/>
    </xf>
    <xf numFmtId="8" fontId="1" fillId="5" borderId="0" xfId="1" applyNumberFormat="1" applyFill="1" applyAlignment="1" applyProtection="1">
      <alignment horizontal="left"/>
      <protection locked="0"/>
    </xf>
    <xf numFmtId="166" fontId="1" fillId="5" borderId="0" xfId="1" applyNumberFormat="1" applyFill="1" applyAlignment="1" applyProtection="1">
      <alignment horizontal="left"/>
      <protection locked="0"/>
    </xf>
    <xf numFmtId="49" fontId="0" fillId="5" borderId="0" xfId="1" applyNumberFormat="1" applyFont="1" applyFill="1" applyAlignment="1" applyProtection="1">
      <alignment horizontal="left"/>
      <protection locked="0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1" applyFont="1" applyProtection="1">
      <protection hidden="1"/>
    </xf>
    <xf numFmtId="0" fontId="1" fillId="0" borderId="0" xfId="1" applyProtection="1">
      <protection hidden="1"/>
    </xf>
    <xf numFmtId="0" fontId="0" fillId="0" borderId="0" xfId="0" applyAlignment="1" applyProtection="1">
      <alignment horizontal="left"/>
      <protection hidden="1"/>
    </xf>
    <xf numFmtId="0" fontId="1" fillId="0" borderId="0" xfId="3" applyFont="1" applyFill="1" applyBorder="1" applyAlignment="1" applyProtection="1">
      <protection hidden="1"/>
    </xf>
    <xf numFmtId="49" fontId="0" fillId="3" borderId="10" xfId="0" applyNumberFormat="1" applyFill="1" applyBorder="1" applyProtection="1">
      <protection locked="0"/>
    </xf>
    <xf numFmtId="0" fontId="0" fillId="3" borderId="10" xfId="0" applyFill="1" applyBorder="1" applyAlignment="1" applyProtection="1">
      <alignment horizontal="left"/>
      <protection locked="0"/>
    </xf>
    <xf numFmtId="0" fontId="0" fillId="3" borderId="10" xfId="0" quotePrefix="1" applyFill="1" applyBorder="1" applyAlignment="1" applyProtection="1">
      <alignment horizontal="left"/>
      <protection locked="0"/>
    </xf>
    <xf numFmtId="0" fontId="0" fillId="6" borderId="0" xfId="0" applyFill="1" applyAlignment="1">
      <alignment horizontal="right" vertical="center"/>
    </xf>
    <xf numFmtId="0" fontId="0" fillId="7" borderId="0" xfId="0" applyFill="1" applyAlignment="1">
      <alignment horizontal="center" vertical="center"/>
    </xf>
    <xf numFmtId="0" fontId="2" fillId="4" borderId="0" xfId="3" applyFill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/>
      <protection locked="0"/>
    </xf>
    <xf numFmtId="0" fontId="0" fillId="3" borderId="14" xfId="0" applyFill="1" applyBorder="1" applyAlignment="1" applyProtection="1">
      <alignment horizontal="left" vertical="center"/>
      <protection locked="0"/>
    </xf>
    <xf numFmtId="49" fontId="0" fillId="3" borderId="14" xfId="0" applyNumberFormat="1" applyFill="1" applyBorder="1" applyAlignment="1" applyProtection="1">
      <alignment horizontal="left" vertical="center"/>
      <protection locked="0"/>
    </xf>
    <xf numFmtId="0" fontId="0" fillId="0" borderId="21" xfId="0" applyBorder="1"/>
    <xf numFmtId="0" fontId="0" fillId="0" borderId="24" xfId="0" applyBorder="1"/>
    <xf numFmtId="0" fontId="0" fillId="4" borderId="2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2" fillId="0" borderId="31" xfId="3" applyFill="1" applyBorder="1" applyAlignment="1" applyProtection="1">
      <alignment horizontal="center"/>
      <protection locked="0"/>
    </xf>
    <xf numFmtId="0" fontId="0" fillId="0" borderId="32" xfId="0" applyBorder="1"/>
    <xf numFmtId="49" fontId="0" fillId="3" borderId="10" xfId="0" quotePrefix="1" applyNumberFormat="1" applyFill="1" applyBorder="1" applyAlignment="1" applyProtection="1">
      <alignment horizontal="left" vertical="center"/>
      <protection locked="0"/>
    </xf>
    <xf numFmtId="0" fontId="12" fillId="4" borderId="33" xfId="0" applyFont="1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4" borderId="10" xfId="0" applyFill="1" applyBorder="1" applyProtection="1">
      <protection hidden="1"/>
    </xf>
    <xf numFmtId="0" fontId="0" fillId="3" borderId="14" xfId="0" applyFill="1" applyBorder="1" applyAlignment="1" applyProtection="1">
      <alignment vertical="top"/>
      <protection locked="0"/>
    </xf>
    <xf numFmtId="0" fontId="5" fillId="4" borderId="17" xfId="0" applyFont="1" applyFill="1" applyBorder="1" applyAlignment="1">
      <alignment horizontal="center" vertical="center" wrapText="1"/>
    </xf>
    <xf numFmtId="0" fontId="2" fillId="3" borderId="14" xfId="3" applyFill="1" applyBorder="1" applyAlignment="1" applyProtection="1">
      <alignment horizontal="left" vertical="center"/>
      <protection locked="0"/>
    </xf>
    <xf numFmtId="0" fontId="0" fillId="0" borderId="35" xfId="0" applyBorder="1"/>
    <xf numFmtId="0" fontId="0" fillId="4" borderId="14" xfId="0" applyFill="1" applyBorder="1" applyAlignment="1">
      <alignment horizontal="left"/>
    </xf>
    <xf numFmtId="0" fontId="0" fillId="0" borderId="36" xfId="0" applyBorder="1"/>
    <xf numFmtId="0" fontId="13" fillId="0" borderId="21" xfId="0" applyFont="1" applyBorder="1" applyAlignment="1">
      <alignment horizontal="left" vertical="top"/>
    </xf>
    <xf numFmtId="0" fontId="13" fillId="0" borderId="37" xfId="0" applyFont="1" applyBorder="1" applyAlignment="1">
      <alignment horizontal="left" vertical="top"/>
    </xf>
    <xf numFmtId="0" fontId="0" fillId="0" borderId="22" xfId="0" applyBorder="1"/>
    <xf numFmtId="49" fontId="19" fillId="5" borderId="0" xfId="1" quotePrefix="1" applyNumberFormat="1" applyFont="1" applyFill="1" applyAlignment="1" applyProtection="1">
      <alignment horizontal="left"/>
      <protection locked="0"/>
    </xf>
    <xf numFmtId="0" fontId="22" fillId="5" borderId="0" xfId="0" applyFont="1" applyFill="1" applyAlignment="1" applyProtection="1">
      <alignment horizontal="left" vertical="center" wrapText="1"/>
      <protection locked="0"/>
    </xf>
    <xf numFmtId="49" fontId="0" fillId="5" borderId="0" xfId="1" quotePrefix="1" applyNumberFormat="1" applyFont="1" applyFill="1" applyAlignment="1" applyProtection="1">
      <alignment horizontal="left" wrapText="1"/>
      <protection locked="0"/>
    </xf>
    <xf numFmtId="0" fontId="13" fillId="4" borderId="34" xfId="0" applyFont="1" applyFill="1" applyBorder="1" applyAlignment="1">
      <alignment horizontal="left" vertical="center" wrapText="1"/>
    </xf>
    <xf numFmtId="0" fontId="13" fillId="0" borderId="19" xfId="0" applyFont="1" applyBorder="1" applyAlignment="1">
      <alignment horizontal="left" vertical="center" wrapText="1"/>
    </xf>
    <xf numFmtId="0" fontId="0" fillId="4" borderId="9" xfId="0" applyFill="1" applyBorder="1"/>
    <xf numFmtId="0" fontId="0" fillId="4" borderId="10" xfId="0" applyFill="1" applyBorder="1"/>
    <xf numFmtId="0" fontId="0" fillId="3" borderId="23" xfId="0" applyFill="1" applyBorder="1" applyAlignment="1" applyProtection="1">
      <alignment horizontal="left" vertical="top" wrapText="1"/>
      <protection locked="0"/>
    </xf>
    <xf numFmtId="0" fontId="0" fillId="0" borderId="26" xfId="0" applyBorder="1" applyAlignment="1" applyProtection="1">
      <alignment horizontal="left" vertical="top" wrapText="1"/>
      <protection locked="0"/>
    </xf>
    <xf numFmtId="0" fontId="0" fillId="0" borderId="28" xfId="0" applyBorder="1" applyAlignment="1" applyProtection="1">
      <alignment horizontal="left" vertical="top" wrapText="1"/>
      <protection locked="0"/>
    </xf>
  </cellXfs>
  <cellStyles count="4">
    <cellStyle name="Hyperlink" xfId="3" builtinId="8"/>
    <cellStyle name="Standaard" xfId="0" builtinId="0"/>
    <cellStyle name="Standaard 2" xfId="1" xr:uid="{00000000-0005-0000-0000-000002000000}"/>
    <cellStyle name="Valuta 2" xfId="2" xr:uid="{00000000-0005-0000-0000-000003000000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rgb="FF663366"/>
        </right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&quot;€&quot;\ 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2" formatCode="&quot;€&quot;\ #,##0.00;[Red]&quot;€&quot;\ \-#,##0.00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663366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border>
        <bottom style="thin">
          <color auto="1"/>
        </bottom>
      </border>
    </dxf>
    <dxf>
      <border>
        <bottom style="thin">
          <color rgb="FF663366"/>
        </bottom>
      </border>
    </dxf>
    <dxf>
      <font>
        <color theme="0"/>
      </font>
      <fill>
        <patternFill patternType="solid">
          <fgColor rgb="FF663366"/>
          <bgColor rgb="FF663366"/>
        </patternFill>
      </fill>
    </dxf>
  </dxfs>
  <tableStyles count="2" defaultTableStyle="TableStyleMedium2" defaultPivotStyle="PivotStyleLight16">
    <tableStyle name="Fontys" pivot="0" count="3" xr9:uid="{00000000-0011-0000-FFFF-FFFF00000000}">
      <tableStyleElement type="headerRow" dxfId="23"/>
      <tableStyleElement type="firstRowStripe" dxfId="22"/>
      <tableStyleElement type="secondRowStripe" dxfId="21"/>
    </tableStyle>
    <tableStyle name="MySqlDefault" pivot="0" table="0" count="0" xr9:uid="{00000000-0011-0000-FFFF-FFFF01000000}"/>
  </tableStyles>
  <colors>
    <mruColors>
      <color rgb="FF66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28576</xdr:rowOff>
    </xdr:from>
    <xdr:to>
      <xdr:col>2</xdr:col>
      <xdr:colOff>491719</xdr:colOff>
      <xdr:row>6</xdr:row>
      <xdr:rowOff>109744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1" y="28576"/>
          <a:ext cx="2372906" cy="11003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74</xdr:row>
          <xdr:rowOff>121920</xdr:rowOff>
        </xdr:from>
        <xdr:to>
          <xdr:col>1</xdr:col>
          <xdr:colOff>1188720</xdr:colOff>
          <xdr:row>77</xdr:row>
          <xdr:rowOff>30480</xdr:rowOff>
        </xdr:to>
        <xdr:sp macro="" textlink="">
          <xdr:nvSpPr>
            <xdr:cNvPr id="1029" name="KNOP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2e ondertekenaar ter akkoord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71438</xdr:colOff>
      <xdr:row>69</xdr:row>
      <xdr:rowOff>0</xdr:rowOff>
    </xdr:from>
    <xdr:to>
      <xdr:col>5</xdr:col>
      <xdr:colOff>1309688</xdr:colOff>
      <xdr:row>79</xdr:row>
      <xdr:rowOff>47624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438" y="11289195"/>
          <a:ext cx="4866033" cy="1878081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75</xdr:row>
          <xdr:rowOff>373380</xdr:rowOff>
        </xdr:from>
        <xdr:to>
          <xdr:col>8</xdr:col>
          <xdr:colOff>411480</xdr:colOff>
          <xdr:row>77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Naar Storeroom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1399759</xdr:colOff>
      <xdr:row>72</xdr:row>
      <xdr:rowOff>149087</xdr:rowOff>
    </xdr:from>
    <xdr:to>
      <xdr:col>8</xdr:col>
      <xdr:colOff>530087</xdr:colOff>
      <xdr:row>79</xdr:row>
      <xdr:rowOff>38825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27542" y="11943522"/>
          <a:ext cx="1996110" cy="121495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1507224</xdr:colOff>
      <xdr:row>73</xdr:row>
      <xdr:rowOff>46379</xdr:rowOff>
    </xdr:from>
    <xdr:to>
      <xdr:col>8</xdr:col>
      <xdr:colOff>300033</xdr:colOff>
      <xdr:row>75</xdr:row>
      <xdr:rowOff>233363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284012" y="12647954"/>
          <a:ext cx="2269434" cy="520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100"/>
            <a:t>Formulier</a:t>
          </a:r>
          <a:r>
            <a:rPr lang="nl-NL" sz="1100" baseline="0"/>
            <a:t> alleen ondertekend naar Storeroom</a:t>
          </a:r>
          <a:endParaRPr lang="nl-NL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70</xdr:row>
          <xdr:rowOff>30480</xdr:rowOff>
        </xdr:from>
        <xdr:to>
          <xdr:col>1</xdr:col>
          <xdr:colOff>1188720</xdr:colOff>
          <xdr:row>71</xdr:row>
          <xdr:rowOff>541020</xdr:rowOff>
        </xdr:to>
        <xdr:sp macro="" textlink="">
          <xdr:nvSpPr>
            <xdr:cNvPr id="1048" name="KNOP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Opsturen of ondertekenen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71</xdr:row>
          <xdr:rowOff>213360</xdr:rowOff>
        </xdr:from>
        <xdr:to>
          <xdr:col>5</xdr:col>
          <xdr:colOff>1264920</xdr:colOff>
          <xdr:row>72</xdr:row>
          <xdr:rowOff>99060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 wissen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72</xdr:row>
          <xdr:rowOff>106680</xdr:rowOff>
        </xdr:from>
        <xdr:to>
          <xdr:col>5</xdr:col>
          <xdr:colOff>1264920</xdr:colOff>
          <xdr:row>75</xdr:row>
          <xdr:rowOff>99060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69</xdr:row>
          <xdr:rowOff>45720</xdr:rowOff>
        </xdr:from>
        <xdr:to>
          <xdr:col>5</xdr:col>
          <xdr:colOff>1264920</xdr:colOff>
          <xdr:row>71</xdr:row>
          <xdr:rowOff>198120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Links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75</xdr:row>
          <xdr:rowOff>106680</xdr:rowOff>
        </xdr:from>
        <xdr:to>
          <xdr:col>5</xdr:col>
          <xdr:colOff>1264920</xdr:colOff>
          <xdr:row>75</xdr:row>
          <xdr:rowOff>579120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746760</xdr:colOff>
          <xdr:row>76</xdr:row>
          <xdr:rowOff>0</xdr:rowOff>
        </xdr:from>
        <xdr:to>
          <xdr:col>5</xdr:col>
          <xdr:colOff>1264920</xdr:colOff>
          <xdr:row>78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(CSV)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Orderlist" displayName="tableOrderlist" ref="A28:R68" totalsRowShown="0" headerRowDxfId="20" dataDxfId="19" headerRowCellStyle="Standaard 2" dataCellStyle="Standaard 2">
  <autoFilter ref="A28:R68" xr:uid="{00000000-0009-0000-0100-000001000000}"/>
  <tableColumns count="18">
    <tableColumn id="8" xr3:uid="{00000000-0010-0000-0000-000008000000}" name="Item" dataDxfId="18" dataCellStyle="Standaard 2"/>
    <tableColumn id="1" xr3:uid="{00000000-0010-0000-0000-000001000000}" name="Leverancier" dataDxfId="17" dataCellStyle="Standaard 2"/>
    <tableColumn id="2" xr3:uid="{00000000-0010-0000-0000-000002000000}" name="Artikel code" dataDxfId="16" dataCellStyle="Standaard 2"/>
    <tableColumn id="3" xr3:uid="{00000000-0010-0000-0000-000003000000}" name="Hoeveelheid" dataDxfId="15" dataCellStyle="Standaard 2"/>
    <tableColumn id="13" xr3:uid="{00000000-0010-0000-0000-00000D000000}" name="Aanvrager" dataDxfId="14" dataCellStyle="Standaard 2">
      <calculatedColumnFormula>IF(ISBLANK(B29),"",(IF(ISBLANK($H$20),CONCATENATE($C$16," ",$C$15,""),$H$20)))</calculatedColumnFormula>
    </tableColumn>
    <tableColumn id="4" xr3:uid="{00000000-0010-0000-0000-000004000000}" name="Omschrijving (geen links)" dataDxfId="13" dataCellStyle="Standaard 2"/>
    <tableColumn id="5" xr3:uid="{00000000-0010-0000-0000-000005000000}" name="Inkoop nummer " dataDxfId="12" dataCellStyle="Standaard 2">
      <calculatedColumnFormula>IF(ISBLANK(B29),"",$C$11)</calculatedColumnFormula>
    </tableColumn>
    <tableColumn id="7" xr3:uid="{00000000-0010-0000-0000-000007000000}" name="Item prijs (excl.BTW)" dataDxfId="11" dataCellStyle="Standaard 2"/>
    <tableColumn id="6" xr3:uid="{00000000-0010-0000-0000-000006000000}" name="Totale prijs" dataDxfId="10" dataCellStyle="Standaard 2">
      <calculatedColumnFormula>IF(AND(ISNUMBER(G29),NOT(ISNUMBER(H29))),D29*(G29*1.21),IF(AND(ISNUMBER(H29),NOT(ISNUMBER(G29))),D29*H29,IF(AND(ISNUMBER(G29),ISNUMBER(H29)),"Ex or Inc VAT price", 0)))</calculatedColumnFormula>
    </tableColumn>
    <tableColumn id="9" xr3:uid="{00000000-0010-0000-0000-000009000000}" name="BoolDisFout" dataDxfId="9" dataCellStyle="Standaard 2">
      <calculatedColumnFormula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calculatedColumnFormula>
    </tableColumn>
    <tableColumn id="21" xr3:uid="{00000000-0010-0000-0000-000015000000}" name="BoolDisLeeg" dataDxfId="8" dataCellStyle="Standaard 2">
      <calculatedColumnFormula>+ISBLANK(tableOrderlist[[#This Row],[Leverancier]])</calculatedColumnFormula>
    </tableColumn>
    <tableColumn id="10" xr3:uid="{00000000-0010-0000-0000-00000A000000}" name="BoolOrderLeeg" dataDxfId="7" dataCellStyle="Standaard 2">
      <calculatedColumnFormula>ISBLANK(tableOrderlist[[#This Row],[Artikel code]])</calculatedColumnFormula>
    </tableColumn>
    <tableColumn id="11" xr3:uid="{00000000-0010-0000-0000-00000B000000}" name="BoolQuantLeeg" dataDxfId="6" dataCellStyle="Standaard 2">
      <calculatedColumnFormula>ISBLANK(tableOrderlist[[#This Row],[Hoeveelheid]])</calculatedColumnFormula>
    </tableColumn>
    <tableColumn id="20" xr3:uid="{00000000-0010-0000-0000-000014000000}" name="BoolRowLeeg" dataDxfId="5" dataCellStyle="Standaard 2">
      <calculatedColumnFormula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calculatedColumnFormula>
    </tableColumn>
    <tableColumn id="22" xr3:uid="{00000000-0010-0000-0000-000016000000}" name="BoolRowCorrect" dataDxfId="4" dataCellStyle="Standaard 2">
      <calculatedColumnFormula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calculatedColumnFormula>
    </tableColumn>
    <tableColumn id="12" xr3:uid="{00000000-0010-0000-0000-00000C000000}" name="BoolPriceError" dataDxfId="3" dataCellStyle="Standaard 2">
      <calculatedColumnFormula>IF(OR(tableOrderlist[[#This Row],[Totale prijs]]=0,NOT(ISNUMBER(tableOrderlist[[#This Row],[Totale prijs]]))),TRUE,FALSE)</calculatedColumnFormula>
    </tableColumn>
    <tableColumn id="14" xr3:uid="{00000000-0010-0000-0000-00000E000000}" name="BoolProjTeamLeeg" dataDxfId="2" dataCellStyle="Standaard 2">
      <calculatedColumnFormula>+ISBLANK(tableOrderlist[[#This Row],[Aanvrager]])</calculatedColumnFormula>
    </tableColumn>
    <tableColumn id="16" xr3:uid="{00000000-0010-0000-0000-000010000000}" name="Kolom1" dataDxfId="1" dataCellStyle="Standaard 2">
      <calculatedColumnFormula>IF(AND(B29="",C29="",D29="",F29="",H29=""),"LEEG",IF(AND(B29&lt;&gt;"",C29&lt;&gt;"",D29&lt;&gt;"",F29&lt;&gt;"",H29&lt;&gt;""),"VOL","NIET COMPLEET"))</calculatedColumnFormula>
    </tableColumn>
  </tableColumns>
  <tableStyleInfo name="Fonty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2" displayName="Tabel2" ref="A1:C15" totalsRowShown="0">
  <autoFilter ref="A1:C15" xr:uid="{00000000-0009-0000-0100-000002000000}"/>
  <tableColumns count="3">
    <tableColumn id="1" xr3:uid="{00000000-0010-0000-0100-000001000000}" name="Suppliers"/>
    <tableColumn id="2" xr3:uid="{00000000-0010-0000-0100-000002000000}" name="Projecten" dataDxfId="0"/>
    <tableColumn id="3" xr3:uid="{00000000-0010-0000-0100-000003000000}" name="Message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edu.nl/4ja64" TargetMode="External"/><Relationship Id="rId1" Type="http://schemas.openxmlformats.org/officeDocument/2006/relationships/hyperlink" Target="https://edu.nl/4ja64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Orderlist">
    <pageSetUpPr fitToPage="1"/>
  </sheetPr>
  <dimension ref="A1:U519"/>
  <sheetViews>
    <sheetView tabSelected="1" topLeftCell="A2" zoomScaleNormal="100" workbookViewId="0">
      <selection activeCell="D53" sqref="D53"/>
    </sheetView>
  </sheetViews>
  <sheetFormatPr defaultColWidth="9.109375" defaultRowHeight="13.2" x14ac:dyDescent="0.25"/>
  <cols>
    <col min="1" max="1" width="5.6640625" customWidth="1"/>
    <col min="2" max="2" width="21.44140625" customWidth="1"/>
    <col min="3" max="3" width="25.5546875" customWidth="1"/>
    <col min="4" max="4" width="14.109375" customWidth="1"/>
    <col min="5" max="5" width="19.6640625" hidden="1" customWidth="1"/>
    <col min="6" max="6" width="27.33203125" customWidth="1"/>
    <col min="7" max="7" width="21.44140625" hidden="1" customWidth="1"/>
    <col min="8" max="8" width="21.44140625" customWidth="1"/>
    <col min="9" max="9" width="13" customWidth="1"/>
    <col min="10" max="10" width="17.109375" style="69" hidden="1" customWidth="1"/>
    <col min="11" max="11" width="16" style="69" hidden="1" customWidth="1"/>
    <col min="12" max="12" width="18.6640625" style="69" hidden="1" customWidth="1"/>
    <col min="13" max="13" width="19" style="69" hidden="1" customWidth="1"/>
    <col min="14" max="14" width="17" style="69" hidden="1" customWidth="1"/>
    <col min="15" max="15" width="19.6640625" style="69" hidden="1" customWidth="1"/>
    <col min="16" max="16" width="18.33203125" style="69" hidden="1" customWidth="1"/>
    <col min="17" max="17" width="22.44140625" style="69" hidden="1" customWidth="1"/>
    <col min="18" max="18" width="18.44140625" style="69" hidden="1" customWidth="1"/>
    <col min="19" max="19" width="9.109375" customWidth="1"/>
  </cols>
  <sheetData>
    <row r="1" spans="1:19" x14ac:dyDescent="0.25">
      <c r="A1" s="10" t="s">
        <v>0</v>
      </c>
      <c r="B1" s="11" t="s">
        <v>1</v>
      </c>
      <c r="C1" s="11"/>
      <c r="D1" s="19" t="s">
        <v>2</v>
      </c>
      <c r="E1" s="11" t="s">
        <v>3</v>
      </c>
      <c r="F1" s="18"/>
      <c r="G1" s="18"/>
      <c r="H1" s="19"/>
      <c r="I1" s="20"/>
      <c r="J1" s="81"/>
      <c r="K1" s="81"/>
      <c r="L1" s="82"/>
      <c r="R1"/>
    </row>
    <row r="2" spans="1:19" x14ac:dyDescent="0.25">
      <c r="A2" s="12" t="s">
        <v>4</v>
      </c>
      <c r="B2" s="13" t="s">
        <v>5</v>
      </c>
      <c r="C2" s="13" t="s">
        <v>6</v>
      </c>
      <c r="D2" s="21"/>
      <c r="E2" s="13" t="s">
        <v>7</v>
      </c>
      <c r="F2" s="21"/>
      <c r="G2" s="21"/>
      <c r="H2" s="22"/>
      <c r="I2" s="23"/>
      <c r="J2" s="81"/>
      <c r="K2" s="81"/>
      <c r="L2" s="82"/>
      <c r="R2"/>
    </row>
    <row r="3" spans="1:19" ht="13.8" thickBot="1" x14ac:dyDescent="0.3">
      <c r="A3" s="12" t="s">
        <v>8</v>
      </c>
      <c r="B3" s="13" t="s">
        <v>9</v>
      </c>
      <c r="C3" s="13"/>
      <c r="D3" s="21"/>
      <c r="E3" s="21"/>
      <c r="F3" s="21"/>
      <c r="G3" s="21"/>
      <c r="H3" s="22"/>
      <c r="I3" s="23"/>
      <c r="J3" s="82"/>
      <c r="K3" s="81"/>
      <c r="L3" s="82"/>
      <c r="M3" s="83"/>
      <c r="R3"/>
    </row>
    <row r="4" spans="1:19" ht="16.2" thickBot="1" x14ac:dyDescent="0.35">
      <c r="A4" s="12" t="s">
        <v>10</v>
      </c>
      <c r="B4" s="13" t="s">
        <v>11</v>
      </c>
      <c r="C4" s="13"/>
      <c r="D4" s="26" t="s">
        <v>12</v>
      </c>
      <c r="E4" s="11" t="s">
        <v>13</v>
      </c>
      <c r="F4" s="63"/>
      <c r="G4" s="64"/>
      <c r="H4" s="22"/>
      <c r="I4" s="23"/>
      <c r="J4" s="82"/>
      <c r="K4" s="81"/>
      <c r="L4" s="82"/>
      <c r="M4" s="83"/>
      <c r="R4"/>
    </row>
    <row r="5" spans="1:19" ht="13.8" thickBot="1" x14ac:dyDescent="0.3">
      <c r="A5" s="12" t="s">
        <v>14</v>
      </c>
      <c r="B5" s="13" t="s">
        <v>15</v>
      </c>
      <c r="C5" s="13"/>
      <c r="D5" s="21"/>
      <c r="E5" s="11" t="s">
        <v>16</v>
      </c>
      <c r="F5" s="21"/>
      <c r="G5" s="21"/>
      <c r="H5" s="22"/>
      <c r="I5" s="23"/>
      <c r="J5" s="82"/>
      <c r="K5" s="81"/>
      <c r="L5" s="82"/>
      <c r="M5" s="83"/>
      <c r="R5"/>
    </row>
    <row r="6" spans="1:19" ht="13.8" thickBot="1" x14ac:dyDescent="0.3">
      <c r="A6" s="12" t="s">
        <v>17</v>
      </c>
      <c r="B6" s="13" t="s">
        <v>18</v>
      </c>
      <c r="C6" s="13"/>
      <c r="D6" s="21"/>
      <c r="E6" s="11" t="s">
        <v>19</v>
      </c>
      <c r="F6" s="21"/>
      <c r="G6" s="21"/>
      <c r="H6" s="22"/>
      <c r="I6" s="23"/>
      <c r="J6" s="82"/>
      <c r="K6" s="81"/>
      <c r="M6" s="83"/>
      <c r="R6"/>
    </row>
    <row r="7" spans="1:19" x14ac:dyDescent="0.25">
      <c r="A7" s="12" t="s">
        <v>20</v>
      </c>
      <c r="B7" s="13"/>
      <c r="C7" s="13"/>
      <c r="D7" s="21"/>
      <c r="E7" s="11" t="s">
        <v>21</v>
      </c>
      <c r="F7" s="21"/>
      <c r="G7" s="21"/>
      <c r="H7" s="22"/>
      <c r="I7" s="23"/>
      <c r="J7" s="82"/>
      <c r="K7" s="81"/>
      <c r="L7" s="82"/>
      <c r="M7" s="83"/>
      <c r="R7"/>
    </row>
    <row r="8" spans="1:19" x14ac:dyDescent="0.25">
      <c r="A8" s="36"/>
      <c r="B8" s="37"/>
      <c r="C8" s="37"/>
      <c r="D8" s="37"/>
      <c r="E8" s="37"/>
      <c r="F8" s="37"/>
      <c r="G8" s="37"/>
      <c r="H8" s="37"/>
      <c r="I8" s="38"/>
      <c r="K8" s="81"/>
      <c r="L8" s="82"/>
      <c r="M8" s="83"/>
      <c r="R8"/>
    </row>
    <row r="9" spans="1:19" x14ac:dyDescent="0.25">
      <c r="A9" s="39" t="s">
        <v>22</v>
      </c>
      <c r="B9" s="37"/>
      <c r="C9" s="37"/>
      <c r="D9" s="37"/>
      <c r="E9" s="37" t="s">
        <v>23</v>
      </c>
      <c r="F9" s="40" t="s">
        <v>24</v>
      </c>
      <c r="G9" s="37"/>
      <c r="H9" s="37"/>
      <c r="I9" s="38"/>
      <c r="K9" s="81"/>
      <c r="M9" s="83"/>
      <c r="R9"/>
    </row>
    <row r="10" spans="1:19" x14ac:dyDescent="0.25">
      <c r="A10" s="122" t="s">
        <v>25</v>
      </c>
      <c r="B10" s="123"/>
      <c r="C10" s="87" t="s">
        <v>26</v>
      </c>
      <c r="D10" s="47"/>
      <c r="E10" s="37" t="s">
        <v>27</v>
      </c>
      <c r="F10" s="41" t="s">
        <v>28</v>
      </c>
      <c r="G10" s="37"/>
      <c r="H10" s="87"/>
      <c r="I10" s="38"/>
      <c r="K10" s="81"/>
      <c r="R10"/>
    </row>
    <row r="11" spans="1:19" x14ac:dyDescent="0.25">
      <c r="A11" s="70" t="s">
        <v>29</v>
      </c>
      <c r="B11" s="41"/>
      <c r="C11" s="107" t="str">
        <f>IF(OR(C18="",C20=""),"",CONCATENATE(LEFT(C18,6),"-",C20))</f>
        <v>043800-11539-101</v>
      </c>
      <c r="D11" s="47"/>
      <c r="E11" s="37" t="s">
        <v>30</v>
      </c>
      <c r="F11" s="41" t="s">
        <v>31</v>
      </c>
      <c r="G11" s="37"/>
      <c r="H11" s="87"/>
      <c r="I11" s="38"/>
      <c r="K11" s="81"/>
      <c r="R11"/>
    </row>
    <row r="12" spans="1:19" x14ac:dyDescent="0.25">
      <c r="A12" s="122" t="s">
        <v>32</v>
      </c>
      <c r="B12" s="123"/>
      <c r="C12" s="87" t="s">
        <v>13</v>
      </c>
      <c r="D12" s="105" t="s">
        <v>33</v>
      </c>
      <c r="E12" s="37"/>
      <c r="F12" s="41" t="s">
        <v>34</v>
      </c>
      <c r="G12" s="37"/>
      <c r="H12" s="104"/>
      <c r="I12" s="38"/>
      <c r="K12" s="81"/>
      <c r="M12" s="84"/>
      <c r="R12"/>
      <c r="S12" t="s">
        <v>35</v>
      </c>
    </row>
    <row r="13" spans="1:19" x14ac:dyDescent="0.25">
      <c r="A13" s="36"/>
      <c r="B13" s="37"/>
      <c r="C13" s="37"/>
      <c r="D13" s="47"/>
      <c r="E13" s="37"/>
      <c r="F13" s="41" t="s">
        <v>36</v>
      </c>
      <c r="G13" s="37"/>
      <c r="H13" s="87"/>
      <c r="I13" s="38"/>
      <c r="K13" s="81"/>
      <c r="R13"/>
    </row>
    <row r="14" spans="1:19" x14ac:dyDescent="0.25">
      <c r="A14" s="42" t="s">
        <v>37</v>
      </c>
      <c r="B14" s="43"/>
      <c r="C14" s="44"/>
      <c r="D14" s="47"/>
      <c r="E14" s="37"/>
      <c r="F14" s="41" t="s">
        <v>38</v>
      </c>
      <c r="G14" s="37"/>
      <c r="H14" s="87"/>
      <c r="I14" s="38"/>
      <c r="K14" s="81"/>
    </row>
    <row r="15" spans="1:19" x14ac:dyDescent="0.25">
      <c r="A15" s="70" t="s">
        <v>39</v>
      </c>
      <c r="B15" s="41"/>
      <c r="C15" s="88" t="s">
        <v>145</v>
      </c>
      <c r="D15" s="47"/>
      <c r="E15" s="37"/>
      <c r="F15" s="41" t="s">
        <v>40</v>
      </c>
      <c r="G15" s="37"/>
      <c r="H15" s="87"/>
      <c r="I15" s="38"/>
      <c r="K15" s="81"/>
      <c r="M15" s="84"/>
      <c r="R15"/>
    </row>
    <row r="16" spans="1:19" x14ac:dyDescent="0.25">
      <c r="A16" s="70" t="s">
        <v>41</v>
      </c>
      <c r="B16" s="41"/>
      <c r="C16" s="88" t="s">
        <v>146</v>
      </c>
      <c r="D16" s="47"/>
      <c r="E16" s="37"/>
      <c r="F16" s="41" t="s">
        <v>42</v>
      </c>
      <c r="G16" s="37"/>
      <c r="H16" s="87"/>
      <c r="I16" s="38"/>
      <c r="K16" s="81"/>
      <c r="R16"/>
    </row>
    <row r="17" spans="1:21" x14ac:dyDescent="0.25">
      <c r="A17" s="52"/>
      <c r="B17" s="52"/>
      <c r="C17" s="53"/>
      <c r="D17" s="45"/>
      <c r="E17" s="37"/>
      <c r="F17" s="41" t="s">
        <v>43</v>
      </c>
      <c r="G17" s="37"/>
      <c r="H17" s="87"/>
      <c r="I17" s="38"/>
      <c r="K17" s="81"/>
      <c r="R17"/>
    </row>
    <row r="18" spans="1:21" x14ac:dyDescent="0.25">
      <c r="A18" s="70" t="s">
        <v>44</v>
      </c>
      <c r="B18" s="41"/>
      <c r="C18" s="89" t="s">
        <v>45</v>
      </c>
      <c r="D18" s="92" t="s">
        <v>33</v>
      </c>
      <c r="E18" s="37"/>
      <c r="F18" s="96"/>
      <c r="G18" s="96"/>
      <c r="H18" s="114"/>
      <c r="I18" s="38"/>
      <c r="K18" s="81"/>
      <c r="M18" s="84"/>
      <c r="R18"/>
    </row>
    <row r="19" spans="1:21" x14ac:dyDescent="0.25">
      <c r="A19" s="100"/>
      <c r="B19" s="101"/>
      <c r="C19" s="106"/>
      <c r="D19" s="102"/>
      <c r="E19" s="37"/>
      <c r="F19" s="40" t="s">
        <v>46</v>
      </c>
      <c r="G19" s="37"/>
      <c r="H19" s="116"/>
      <c r="I19" s="38"/>
      <c r="K19" s="81"/>
      <c r="R19"/>
    </row>
    <row r="20" spans="1:21" x14ac:dyDescent="0.25">
      <c r="A20" s="70" t="s">
        <v>47</v>
      </c>
      <c r="B20" s="41"/>
      <c r="C20" s="88" t="s">
        <v>150</v>
      </c>
      <c r="D20" s="92" t="s">
        <v>33</v>
      </c>
      <c r="E20" s="37"/>
      <c r="F20" s="112" t="s">
        <v>48</v>
      </c>
      <c r="G20" s="109"/>
      <c r="H20" s="94" t="s">
        <v>147</v>
      </c>
      <c r="I20" s="49" t="s">
        <v>33</v>
      </c>
      <c r="K20" s="81"/>
      <c r="R20"/>
    </row>
    <row r="21" spans="1:21" x14ac:dyDescent="0.25">
      <c r="A21" s="54"/>
      <c r="B21" s="54"/>
      <c r="C21" s="55"/>
      <c r="D21" s="45"/>
      <c r="E21" s="37"/>
      <c r="F21" s="111"/>
      <c r="G21" s="96"/>
      <c r="H21" s="115"/>
      <c r="I21" s="49"/>
      <c r="K21" s="85"/>
      <c r="R21"/>
    </row>
    <row r="22" spans="1:21" x14ac:dyDescent="0.25">
      <c r="A22" s="70" t="s">
        <v>49</v>
      </c>
      <c r="B22" s="41"/>
      <c r="C22" s="124" t="s">
        <v>151</v>
      </c>
      <c r="D22" s="47"/>
      <c r="E22" s="37"/>
      <c r="F22" s="113"/>
      <c r="G22" s="96"/>
      <c r="H22" s="114"/>
      <c r="I22" s="49"/>
      <c r="K22" s="85"/>
      <c r="M22" s="84"/>
      <c r="R22"/>
    </row>
    <row r="23" spans="1:21" x14ac:dyDescent="0.25">
      <c r="A23" s="97"/>
      <c r="B23" s="98"/>
      <c r="C23" s="125"/>
      <c r="D23" s="103"/>
      <c r="E23" s="37"/>
      <c r="F23" s="51" t="s">
        <v>50</v>
      </c>
      <c r="G23" s="48"/>
      <c r="H23" s="94">
        <v>458619</v>
      </c>
      <c r="I23" s="49"/>
      <c r="K23" s="85"/>
      <c r="R23"/>
    </row>
    <row r="24" spans="1:21" x14ac:dyDescent="0.25">
      <c r="A24" s="96"/>
      <c r="B24" s="99"/>
      <c r="C24" s="126"/>
      <c r="E24" s="48"/>
      <c r="F24" s="51" t="s">
        <v>51</v>
      </c>
      <c r="H24" s="110" t="s">
        <v>148</v>
      </c>
      <c r="I24" s="49"/>
      <c r="K24" s="85"/>
      <c r="R24"/>
    </row>
    <row r="25" spans="1:21" x14ac:dyDescent="0.25">
      <c r="A25" s="56" t="s">
        <v>52</v>
      </c>
      <c r="B25" s="37"/>
      <c r="C25" s="46"/>
      <c r="D25" s="47"/>
      <c r="E25" s="48"/>
      <c r="F25" s="51" t="s">
        <v>34</v>
      </c>
      <c r="G25" s="48"/>
      <c r="H25" s="95" t="s">
        <v>149</v>
      </c>
      <c r="I25" s="49"/>
      <c r="K25" s="85"/>
      <c r="R25"/>
    </row>
    <row r="26" spans="1:21" x14ac:dyDescent="0.25">
      <c r="A26" s="70" t="s">
        <v>53</v>
      </c>
      <c r="B26" s="41"/>
      <c r="C26" s="88"/>
      <c r="D26" s="93" t="s">
        <v>33</v>
      </c>
      <c r="E26" s="48"/>
      <c r="F26" s="112" t="s">
        <v>54</v>
      </c>
      <c r="G26" s="48"/>
      <c r="H26" s="108" t="s">
        <v>23</v>
      </c>
      <c r="I26" s="49" t="s">
        <v>33</v>
      </c>
      <c r="K26" s="85"/>
      <c r="R26"/>
    </row>
    <row r="27" spans="1:21" x14ac:dyDescent="0.25">
      <c r="A27" s="120" t="s">
        <v>55</v>
      </c>
      <c r="B27" s="121"/>
      <c r="C27" s="121"/>
      <c r="D27" s="48"/>
      <c r="E27" s="48"/>
      <c r="F27" s="37"/>
      <c r="G27" s="48"/>
      <c r="H27" s="48"/>
      <c r="I27" s="30"/>
      <c r="J27" s="68"/>
      <c r="K27" s="86"/>
      <c r="L27" s="84"/>
    </row>
    <row r="28" spans="1:21" x14ac:dyDescent="0.25">
      <c r="A28" s="15" t="s">
        <v>56</v>
      </c>
      <c r="B28" s="16" t="s">
        <v>57</v>
      </c>
      <c r="C28" s="16" t="s">
        <v>58</v>
      </c>
      <c r="D28" s="16" t="s">
        <v>59</v>
      </c>
      <c r="E28" s="16" t="s">
        <v>60</v>
      </c>
      <c r="F28" s="16" t="s">
        <v>61</v>
      </c>
      <c r="G28" s="16" t="s">
        <v>62</v>
      </c>
      <c r="H28" s="16" t="s">
        <v>63</v>
      </c>
      <c r="I28" s="17" t="s">
        <v>64</v>
      </c>
      <c r="J28" s="68" t="s">
        <v>65</v>
      </c>
      <c r="K28" s="68" t="s">
        <v>66</v>
      </c>
      <c r="L28" s="68" t="s">
        <v>67</v>
      </c>
      <c r="M28" s="68" t="s">
        <v>68</v>
      </c>
      <c r="N28" s="68" t="s">
        <v>69</v>
      </c>
      <c r="O28" s="68" t="s">
        <v>70</v>
      </c>
      <c r="P28" s="68" t="s">
        <v>71</v>
      </c>
      <c r="Q28" s="68" t="s">
        <v>72</v>
      </c>
      <c r="R28" s="68" t="s">
        <v>73</v>
      </c>
      <c r="S28" s="6"/>
      <c r="T28" s="6"/>
      <c r="U28" s="6"/>
    </row>
    <row r="29" spans="1:21" x14ac:dyDescent="0.25">
      <c r="A29" s="73">
        <v>1</v>
      </c>
      <c r="B29" s="74" t="s">
        <v>74</v>
      </c>
      <c r="C29" s="75" t="s">
        <v>163</v>
      </c>
      <c r="D29" s="76">
        <v>100</v>
      </c>
      <c r="E29" s="59" t="str">
        <f t="shared" ref="E29:E68" si="0">IF(ISBLANK(B29),"",(IF(ISBLANK($H$20),CONCATENATE($C$16," ",$C$15,""),$H$20)))</f>
        <v>Robin van den Dungen</v>
      </c>
      <c r="F29" s="74" t="s">
        <v>154</v>
      </c>
      <c r="G29" s="78"/>
      <c r="H29" s="79">
        <v>8.0000000000000002E-3</v>
      </c>
      <c r="I29" s="14">
        <f t="shared" ref="I29" si="1">IF(AND(ISNUMBER(G29),NOT(ISNUMBER(H29))),D29*(G29*1.21),IF(AND(ISNUMBER(H29),NOT(ISNUMBER(G29))),D29*H29,IF(AND(ISNUMBER(G29),ISNUMBER(H29)),"Ex or Inc VAT price", 0)))</f>
        <v>0.8</v>
      </c>
      <c r="J2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29" s="7" t="b">
        <f>+ISBLANK(tableOrderlist[[#This Row],[Leverancier]])</f>
        <v>0</v>
      </c>
      <c r="L29" s="7" t="b">
        <f>ISBLANK(tableOrderlist[[#This Row],[Artikel code]])</f>
        <v>0</v>
      </c>
      <c r="M29" s="7" t="b">
        <f>ISBLANK(tableOrderlist[[#This Row],[Hoeveelheid]])</f>
        <v>0</v>
      </c>
      <c r="N2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2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29" s="7" t="b">
        <f>IF(OR(tableOrderlist[[#This Row],[Totale prijs]]=0,NOT(ISNUMBER(tableOrderlist[[#This Row],[Totale prijs]]))),TRUE,FALSE)</f>
        <v>0</v>
      </c>
      <c r="Q29" s="7" t="b">
        <f>+ISBLANK(tableOrderlist[[#This Row],[Aanvrager]])</f>
        <v>0</v>
      </c>
      <c r="R29" s="7" t="str">
        <f t="shared" ref="R29" si="2">IF(AND(B29="",C29="",D29="",F29="",H29=""),"LEEG",IF(AND(B29&lt;&gt;"",C29&lt;&gt;"",D29&lt;&gt;"",F29&lt;&gt;"",H29&lt;&gt;""),"VOL","NIET COMPLEET"))</f>
        <v>VOL</v>
      </c>
      <c r="S29" s="6"/>
      <c r="T29" s="6"/>
      <c r="U29" s="6"/>
    </row>
    <row r="30" spans="1:21" x14ac:dyDescent="0.25">
      <c r="A30" s="73">
        <v>2</v>
      </c>
      <c r="B30" s="74" t="s">
        <v>74</v>
      </c>
      <c r="C30" s="80" t="s">
        <v>162</v>
      </c>
      <c r="D30" s="76">
        <v>53</v>
      </c>
      <c r="E30" s="59" t="str">
        <f t="shared" si="0"/>
        <v>Robin van den Dungen</v>
      </c>
      <c r="F30" s="74" t="s">
        <v>155</v>
      </c>
      <c r="G30" s="78" t="str">
        <f t="shared" ref="G30:G40" si="3">IF(ISBLANK(B30),"",$C$11)</f>
        <v>043800-11539-101</v>
      </c>
      <c r="H30" s="79">
        <v>0.08</v>
      </c>
      <c r="I30" s="14">
        <f t="shared" ref="I30:I52" si="4">IF(AND(ISNUMBER(G30),NOT(ISNUMBER(H30))),D30*(G30*1.21),IF(AND(ISNUMBER(H30),NOT(ISNUMBER(G30))),D30*H30,IF(AND(ISNUMBER(G30),ISNUMBER(H30)),"Ex or Inc VAT price", 0)))</f>
        <v>4.24</v>
      </c>
      <c r="J3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0" s="7" t="b">
        <f>+ISBLANK(tableOrderlist[[#This Row],[Leverancier]])</f>
        <v>0</v>
      </c>
      <c r="L30" s="7" t="b">
        <f>ISBLANK(tableOrderlist[[#This Row],[Artikel code]])</f>
        <v>0</v>
      </c>
      <c r="M30" s="7" t="b">
        <f>ISBLANK(tableOrderlist[[#This Row],[Hoeveelheid]])</f>
        <v>0</v>
      </c>
      <c r="N3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0" s="7" t="b">
        <f>IF(OR(tableOrderlist[[#This Row],[Totale prijs]]=0,NOT(ISNUMBER(tableOrderlist[[#This Row],[Totale prijs]]))),TRUE,FALSE)</f>
        <v>0</v>
      </c>
      <c r="Q30" s="7" t="b">
        <f>+ISBLANK(tableOrderlist[[#This Row],[Aanvrager]])</f>
        <v>0</v>
      </c>
      <c r="R30" s="7" t="str">
        <f t="shared" ref="R30:R52" si="5">IF(AND(B30="",C30="",D30="",F30="",H30=""),"LEEG",IF(AND(B30&lt;&gt;"",C30&lt;&gt;"",D30&lt;&gt;"",F30&lt;&gt;"",H30&lt;&gt;""),"VOL","NIET COMPLEET"))</f>
        <v>VOL</v>
      </c>
      <c r="S30" s="6"/>
      <c r="T30" s="6"/>
      <c r="U30" s="6"/>
    </row>
    <row r="31" spans="1:21" x14ac:dyDescent="0.25">
      <c r="A31" s="73">
        <v>3</v>
      </c>
      <c r="B31" s="74" t="s">
        <v>74</v>
      </c>
      <c r="C31" s="80" t="s">
        <v>176</v>
      </c>
      <c r="D31" s="76">
        <v>4</v>
      </c>
      <c r="E31" s="59" t="str">
        <f t="shared" si="0"/>
        <v>Robin van den Dungen</v>
      </c>
      <c r="F31" s="74" t="s">
        <v>174</v>
      </c>
      <c r="G31" s="78" t="str">
        <f t="shared" si="3"/>
        <v>043800-11539-101</v>
      </c>
      <c r="H31" s="79">
        <v>0.16900000000000001</v>
      </c>
      <c r="I31" s="14">
        <f t="shared" si="4"/>
        <v>0.67600000000000005</v>
      </c>
      <c r="J3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1" s="7" t="b">
        <f>+ISBLANK(tableOrderlist[[#This Row],[Leverancier]])</f>
        <v>0</v>
      </c>
      <c r="L31" s="7" t="b">
        <f>ISBLANK(tableOrderlist[[#This Row],[Artikel code]])</f>
        <v>0</v>
      </c>
      <c r="M31" s="7" t="b">
        <f>ISBLANK(tableOrderlist[[#This Row],[Hoeveelheid]])</f>
        <v>0</v>
      </c>
      <c r="N3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1" s="7" t="b">
        <f>IF(OR(tableOrderlist[[#This Row],[Totale prijs]]=0,NOT(ISNUMBER(tableOrderlist[[#This Row],[Totale prijs]]))),TRUE,FALSE)</f>
        <v>0</v>
      </c>
      <c r="Q31" s="7" t="b">
        <f>+ISBLANK(tableOrderlist[[#This Row],[Aanvrager]])</f>
        <v>0</v>
      </c>
      <c r="R31" s="7" t="str">
        <f t="shared" si="5"/>
        <v>VOL</v>
      </c>
      <c r="S31" s="6"/>
      <c r="T31" s="6"/>
      <c r="U31" s="6"/>
    </row>
    <row r="32" spans="1:21" x14ac:dyDescent="0.25">
      <c r="A32" s="73">
        <v>4</v>
      </c>
      <c r="B32" s="74" t="s">
        <v>74</v>
      </c>
      <c r="C32" s="75" t="s">
        <v>170</v>
      </c>
      <c r="D32" s="76">
        <v>10</v>
      </c>
      <c r="E32" s="59" t="str">
        <f t="shared" si="0"/>
        <v>Robin van den Dungen</v>
      </c>
      <c r="F32" s="74" t="s">
        <v>160</v>
      </c>
      <c r="G32" s="78" t="str">
        <f t="shared" si="3"/>
        <v>043800-11539-101</v>
      </c>
      <c r="H32" s="79">
        <v>4.2000000000000003E-2</v>
      </c>
      <c r="I32" s="14">
        <f t="shared" si="4"/>
        <v>0.42000000000000004</v>
      </c>
      <c r="J3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2" s="7" t="b">
        <f>+ISBLANK(tableOrderlist[[#This Row],[Leverancier]])</f>
        <v>0</v>
      </c>
      <c r="L32" s="7" t="b">
        <f>ISBLANK(tableOrderlist[[#This Row],[Artikel code]])</f>
        <v>0</v>
      </c>
      <c r="M32" s="7" t="b">
        <f>ISBLANK(tableOrderlist[[#This Row],[Hoeveelheid]])</f>
        <v>0</v>
      </c>
      <c r="N3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2" s="7" t="b">
        <f>IF(OR(tableOrderlist[[#This Row],[Totale prijs]]=0,NOT(ISNUMBER(tableOrderlist[[#This Row],[Totale prijs]]))),TRUE,FALSE)</f>
        <v>0</v>
      </c>
      <c r="Q32" s="7" t="b">
        <f>+ISBLANK(tableOrderlist[[#This Row],[Aanvrager]])</f>
        <v>0</v>
      </c>
      <c r="R32" s="7" t="str">
        <f t="shared" si="5"/>
        <v>VOL</v>
      </c>
      <c r="S32" s="6"/>
      <c r="T32" s="6"/>
      <c r="U32" s="6"/>
    </row>
    <row r="33" spans="1:21" x14ac:dyDescent="0.25">
      <c r="A33" s="73">
        <v>5</v>
      </c>
      <c r="B33" s="74" t="s">
        <v>74</v>
      </c>
      <c r="C33" s="80" t="s">
        <v>164</v>
      </c>
      <c r="D33" s="76">
        <v>15</v>
      </c>
      <c r="E33" s="59" t="str">
        <f t="shared" si="0"/>
        <v>Robin van den Dungen</v>
      </c>
      <c r="F33" s="74" t="s">
        <v>156</v>
      </c>
      <c r="G33" s="78" t="str">
        <f t="shared" si="3"/>
        <v>043800-11539-101</v>
      </c>
      <c r="H33" s="79">
        <v>7.0000000000000007E-2</v>
      </c>
      <c r="I33" s="14">
        <f t="shared" si="4"/>
        <v>1.05</v>
      </c>
      <c r="J3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3" s="7" t="b">
        <f>+ISBLANK(tableOrderlist[[#This Row],[Leverancier]])</f>
        <v>0</v>
      </c>
      <c r="L33" s="7" t="b">
        <f>ISBLANK(tableOrderlist[[#This Row],[Artikel code]])</f>
        <v>0</v>
      </c>
      <c r="M33" s="7" t="b">
        <f>ISBLANK(tableOrderlist[[#This Row],[Hoeveelheid]])</f>
        <v>0</v>
      </c>
      <c r="N3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3" s="7" t="b">
        <f>IF(OR(tableOrderlist[[#This Row],[Totale prijs]]=0,NOT(ISNUMBER(tableOrderlist[[#This Row],[Totale prijs]]))),TRUE,FALSE)</f>
        <v>0</v>
      </c>
      <c r="Q33" s="7" t="b">
        <f>+ISBLANK(tableOrderlist[[#This Row],[Aanvrager]])</f>
        <v>0</v>
      </c>
      <c r="R33" s="7" t="str">
        <f t="shared" si="5"/>
        <v>VOL</v>
      </c>
      <c r="S33" s="6"/>
      <c r="T33" s="6"/>
      <c r="U33" s="6"/>
    </row>
    <row r="34" spans="1:21" x14ac:dyDescent="0.25">
      <c r="A34" s="73">
        <v>6</v>
      </c>
      <c r="B34" s="74" t="s">
        <v>74</v>
      </c>
      <c r="C34" s="80" t="s">
        <v>168</v>
      </c>
      <c r="D34" s="76">
        <v>10</v>
      </c>
      <c r="E34" s="59" t="str">
        <f t="shared" si="0"/>
        <v>Robin van den Dungen</v>
      </c>
      <c r="F34" s="74" t="s">
        <v>158</v>
      </c>
      <c r="G34" s="78" t="str">
        <f t="shared" si="3"/>
        <v>043800-11539-101</v>
      </c>
      <c r="H34" s="79">
        <v>7.9000000000000001E-2</v>
      </c>
      <c r="I34" s="14">
        <f t="shared" si="4"/>
        <v>0.79</v>
      </c>
      <c r="J3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4" s="7" t="b">
        <f>+ISBLANK(tableOrderlist[[#This Row],[Leverancier]])</f>
        <v>0</v>
      </c>
      <c r="L34" s="7" t="b">
        <f>ISBLANK(tableOrderlist[[#This Row],[Artikel code]])</f>
        <v>0</v>
      </c>
      <c r="M34" s="7" t="b">
        <f>ISBLANK(tableOrderlist[[#This Row],[Hoeveelheid]])</f>
        <v>0</v>
      </c>
      <c r="N3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4" s="7" t="b">
        <f>IF(OR(tableOrderlist[[#This Row],[Totale prijs]]=0,NOT(ISNUMBER(tableOrderlist[[#This Row],[Totale prijs]]))),TRUE,FALSE)</f>
        <v>0</v>
      </c>
      <c r="Q34" s="7" t="b">
        <f>+ISBLANK(tableOrderlist[[#This Row],[Aanvrager]])</f>
        <v>0</v>
      </c>
      <c r="R34" s="7" t="str">
        <f t="shared" si="5"/>
        <v>VOL</v>
      </c>
      <c r="S34" s="6"/>
      <c r="T34" s="6"/>
      <c r="U34" s="6"/>
    </row>
    <row r="35" spans="1:21" x14ac:dyDescent="0.25">
      <c r="A35" s="73">
        <v>7</v>
      </c>
      <c r="B35" s="74" t="s">
        <v>74</v>
      </c>
      <c r="C35" s="80" t="s">
        <v>167</v>
      </c>
      <c r="D35" s="76">
        <v>11</v>
      </c>
      <c r="E35" s="59" t="str">
        <f t="shared" si="0"/>
        <v>Robin van den Dungen</v>
      </c>
      <c r="F35" s="74" t="s">
        <v>157</v>
      </c>
      <c r="G35" s="78" t="str">
        <f t="shared" si="3"/>
        <v>043800-11539-101</v>
      </c>
      <c r="H35" s="79">
        <v>7.1999999999999995E-2</v>
      </c>
      <c r="I35" s="14">
        <f t="shared" si="4"/>
        <v>0.79199999999999993</v>
      </c>
      <c r="J3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5" s="7" t="b">
        <f>+ISBLANK(tableOrderlist[[#This Row],[Leverancier]])</f>
        <v>0</v>
      </c>
      <c r="L35" s="7" t="b">
        <f>ISBLANK(tableOrderlist[[#This Row],[Artikel code]])</f>
        <v>0</v>
      </c>
      <c r="M35" s="7" t="b">
        <f>ISBLANK(tableOrderlist[[#This Row],[Hoeveelheid]])</f>
        <v>0</v>
      </c>
      <c r="N3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5" s="7" t="b">
        <f>IF(OR(tableOrderlist[[#This Row],[Totale prijs]]=0,NOT(ISNUMBER(tableOrderlist[[#This Row],[Totale prijs]]))),TRUE,FALSE)</f>
        <v>0</v>
      </c>
      <c r="Q35" s="7" t="b">
        <f>+ISBLANK(tableOrderlist[[#This Row],[Aanvrager]])</f>
        <v>0</v>
      </c>
      <c r="R35" s="7" t="str">
        <f t="shared" si="5"/>
        <v>VOL</v>
      </c>
      <c r="S35" s="6"/>
      <c r="T35" s="6"/>
      <c r="U35" s="6"/>
    </row>
    <row r="36" spans="1:21" x14ac:dyDescent="0.25">
      <c r="A36" s="73">
        <v>8</v>
      </c>
      <c r="B36" s="74" t="s">
        <v>74</v>
      </c>
      <c r="C36" s="80" t="s">
        <v>171</v>
      </c>
      <c r="D36" s="76">
        <v>10</v>
      </c>
      <c r="E36" s="59" t="str">
        <f t="shared" si="0"/>
        <v>Robin van den Dungen</v>
      </c>
      <c r="F36" s="74" t="s">
        <v>161</v>
      </c>
      <c r="G36" s="78" t="str">
        <f t="shared" si="3"/>
        <v>043800-11539-101</v>
      </c>
      <c r="H36" s="79">
        <v>8.5999999999999993E-2</v>
      </c>
      <c r="I36" s="14">
        <f t="shared" si="4"/>
        <v>0.85999999999999988</v>
      </c>
      <c r="J3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6" s="7" t="b">
        <f>+ISBLANK(tableOrderlist[[#This Row],[Leverancier]])</f>
        <v>0</v>
      </c>
      <c r="L36" s="7" t="b">
        <f>ISBLANK(tableOrderlist[[#This Row],[Artikel code]])</f>
        <v>0</v>
      </c>
      <c r="M36" s="7" t="b">
        <f>ISBLANK(tableOrderlist[[#This Row],[Hoeveelheid]])</f>
        <v>0</v>
      </c>
      <c r="N3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6" s="7" t="b">
        <f>IF(OR(tableOrderlist[[#This Row],[Totale prijs]]=0,NOT(ISNUMBER(tableOrderlist[[#This Row],[Totale prijs]]))),TRUE,FALSE)</f>
        <v>0</v>
      </c>
      <c r="Q36" s="7" t="b">
        <f>+ISBLANK(tableOrderlist[[#This Row],[Aanvrager]])</f>
        <v>0</v>
      </c>
      <c r="R36" s="7" t="str">
        <f t="shared" si="5"/>
        <v>VOL</v>
      </c>
      <c r="S36" s="6"/>
      <c r="T36" s="6"/>
      <c r="U36" s="6"/>
    </row>
    <row r="37" spans="1:21" x14ac:dyDescent="0.25">
      <c r="A37" s="73">
        <v>9</v>
      </c>
      <c r="B37" s="74" t="s">
        <v>74</v>
      </c>
      <c r="C37" s="80" t="s">
        <v>166</v>
      </c>
      <c r="D37" s="76">
        <v>10</v>
      </c>
      <c r="E37" s="59" t="str">
        <f t="shared" si="0"/>
        <v>Robin van den Dungen</v>
      </c>
      <c r="F37" s="74" t="s">
        <v>165</v>
      </c>
      <c r="G37" s="78" t="str">
        <f t="shared" si="3"/>
        <v>043800-11539-101</v>
      </c>
      <c r="H37" s="79">
        <v>3.6999999999999998E-2</v>
      </c>
      <c r="I37" s="14">
        <f t="shared" si="4"/>
        <v>0.37</v>
      </c>
      <c r="J3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7" s="7" t="b">
        <f>+ISBLANK(tableOrderlist[[#This Row],[Leverancier]])</f>
        <v>0</v>
      </c>
      <c r="L37" s="7" t="b">
        <f>ISBLANK(tableOrderlist[[#This Row],[Artikel code]])</f>
        <v>0</v>
      </c>
      <c r="M37" s="7" t="b">
        <f>ISBLANK(tableOrderlist[[#This Row],[Hoeveelheid]])</f>
        <v>0</v>
      </c>
      <c r="N3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7" s="7" t="b">
        <f>IF(OR(tableOrderlist[[#This Row],[Totale prijs]]=0,NOT(ISNUMBER(tableOrderlist[[#This Row],[Totale prijs]]))),TRUE,FALSE)</f>
        <v>0</v>
      </c>
      <c r="Q37" s="7" t="b">
        <f>+ISBLANK(tableOrderlist[[#This Row],[Aanvrager]])</f>
        <v>0</v>
      </c>
      <c r="R37" s="7" t="str">
        <f t="shared" si="5"/>
        <v>VOL</v>
      </c>
      <c r="S37" s="6"/>
      <c r="T37" s="6"/>
      <c r="U37" s="6"/>
    </row>
    <row r="38" spans="1:21" x14ac:dyDescent="0.25">
      <c r="A38" s="73">
        <v>10</v>
      </c>
      <c r="B38" s="74" t="s">
        <v>74</v>
      </c>
      <c r="C38" s="80" t="s">
        <v>169</v>
      </c>
      <c r="D38" s="76">
        <v>10</v>
      </c>
      <c r="E38" s="59" t="str">
        <f t="shared" si="0"/>
        <v>Robin van den Dungen</v>
      </c>
      <c r="F38" s="74" t="s">
        <v>159</v>
      </c>
      <c r="G38" s="78" t="str">
        <f t="shared" si="3"/>
        <v>043800-11539-101</v>
      </c>
      <c r="H38" s="79">
        <v>9.2999999999999999E-2</v>
      </c>
      <c r="I38" s="14">
        <f t="shared" si="4"/>
        <v>0.92999999999999994</v>
      </c>
      <c r="J3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8" s="7" t="b">
        <f>+ISBLANK(tableOrderlist[[#This Row],[Leverancier]])</f>
        <v>0</v>
      </c>
      <c r="L38" s="7" t="b">
        <f>ISBLANK(tableOrderlist[[#This Row],[Artikel code]])</f>
        <v>0</v>
      </c>
      <c r="M38" s="7" t="b">
        <f>ISBLANK(tableOrderlist[[#This Row],[Hoeveelheid]])</f>
        <v>0</v>
      </c>
      <c r="N3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8" s="7" t="b">
        <f>IF(OR(tableOrderlist[[#This Row],[Totale prijs]]=0,NOT(ISNUMBER(tableOrderlist[[#This Row],[Totale prijs]]))),TRUE,FALSE)</f>
        <v>0</v>
      </c>
      <c r="Q38" s="7" t="b">
        <f>+ISBLANK(tableOrderlist[[#This Row],[Aanvrager]])</f>
        <v>0</v>
      </c>
      <c r="R38" s="7" t="str">
        <f t="shared" si="5"/>
        <v>VOL</v>
      </c>
      <c r="S38" s="6"/>
      <c r="T38" s="6"/>
      <c r="U38" s="6"/>
    </row>
    <row r="39" spans="1:21" x14ac:dyDescent="0.25">
      <c r="A39" s="73">
        <v>11</v>
      </c>
      <c r="B39" s="74" t="s">
        <v>74</v>
      </c>
      <c r="C39" s="80" t="s">
        <v>172</v>
      </c>
      <c r="D39" s="76">
        <v>4</v>
      </c>
      <c r="E39" s="59" t="str">
        <f t="shared" si="0"/>
        <v>Robin van den Dungen</v>
      </c>
      <c r="F39" s="74" t="s">
        <v>152</v>
      </c>
      <c r="G39" s="78" t="str">
        <f t="shared" si="3"/>
        <v>043800-11539-101</v>
      </c>
      <c r="H39" s="79">
        <v>0.50800000000000001</v>
      </c>
      <c r="I39" s="14">
        <f t="shared" si="4"/>
        <v>2.032</v>
      </c>
      <c r="J3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39" s="7" t="b">
        <f>+ISBLANK(tableOrderlist[[#This Row],[Leverancier]])</f>
        <v>0</v>
      </c>
      <c r="L39" s="7" t="b">
        <f>ISBLANK(tableOrderlist[[#This Row],[Artikel code]])</f>
        <v>0</v>
      </c>
      <c r="M39" s="7" t="b">
        <f>ISBLANK(tableOrderlist[[#This Row],[Hoeveelheid]])</f>
        <v>0</v>
      </c>
      <c r="N3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3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39" s="7" t="b">
        <f>IF(OR(tableOrderlist[[#This Row],[Totale prijs]]=0,NOT(ISNUMBER(tableOrderlist[[#This Row],[Totale prijs]]))),TRUE,FALSE)</f>
        <v>0</v>
      </c>
      <c r="Q39" s="7" t="b">
        <f>+ISBLANK(tableOrderlist[[#This Row],[Aanvrager]])</f>
        <v>0</v>
      </c>
      <c r="R39" s="7" t="str">
        <f t="shared" si="5"/>
        <v>VOL</v>
      </c>
      <c r="S39" s="6"/>
      <c r="T39" s="6"/>
      <c r="U39" s="6"/>
    </row>
    <row r="40" spans="1:21" x14ac:dyDescent="0.25">
      <c r="A40" s="73">
        <v>12</v>
      </c>
      <c r="B40" s="74" t="s">
        <v>74</v>
      </c>
      <c r="C40" s="80" t="s">
        <v>173</v>
      </c>
      <c r="D40" s="76">
        <v>10</v>
      </c>
      <c r="E40" s="59" t="str">
        <f t="shared" si="0"/>
        <v>Robin van den Dungen</v>
      </c>
      <c r="F40" s="74" t="s">
        <v>153</v>
      </c>
      <c r="G40" s="78" t="str">
        <f t="shared" si="3"/>
        <v>043800-11539-101</v>
      </c>
      <c r="H40" s="79">
        <v>1.9E-2</v>
      </c>
      <c r="I40" s="14">
        <f t="shared" si="4"/>
        <v>0.19</v>
      </c>
      <c r="J4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0" s="7" t="b">
        <f>+ISBLANK(tableOrderlist[[#This Row],[Leverancier]])</f>
        <v>0</v>
      </c>
      <c r="L40" s="7" t="b">
        <f>ISBLANK(tableOrderlist[[#This Row],[Artikel code]])</f>
        <v>0</v>
      </c>
      <c r="M40" s="7" t="b">
        <f>ISBLANK(tableOrderlist[[#This Row],[Hoeveelheid]])</f>
        <v>0</v>
      </c>
      <c r="N4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0" s="7" t="b">
        <f>IF(OR(tableOrderlist[[#This Row],[Totale prijs]]=0,NOT(ISNUMBER(tableOrderlist[[#This Row],[Totale prijs]]))),TRUE,FALSE)</f>
        <v>0</v>
      </c>
      <c r="Q40" s="7" t="b">
        <f>+ISBLANK(tableOrderlist[[#This Row],[Aanvrager]])</f>
        <v>0</v>
      </c>
      <c r="R40" s="7" t="str">
        <f t="shared" si="5"/>
        <v>VOL</v>
      </c>
      <c r="S40" s="50"/>
      <c r="T40" s="6"/>
      <c r="U40" s="6"/>
    </row>
    <row r="41" spans="1:21" x14ac:dyDescent="0.25">
      <c r="A41" s="73">
        <v>13</v>
      </c>
      <c r="B41" s="74" t="s">
        <v>74</v>
      </c>
      <c r="C41" s="75" t="s">
        <v>188</v>
      </c>
      <c r="D41" s="76">
        <v>12</v>
      </c>
      <c r="E41" s="59" t="str">
        <f t="shared" si="0"/>
        <v>Robin van den Dungen</v>
      </c>
      <c r="F41" s="77" t="s">
        <v>189</v>
      </c>
      <c r="G41" s="78" t="str">
        <f t="shared" ref="G41:G63" si="6">IF(ISBLANK(B41),"",$C$11)</f>
        <v>043800-11539-101</v>
      </c>
      <c r="H41" s="79">
        <v>8.5000000000000006E-2</v>
      </c>
      <c r="I41" s="14">
        <f t="shared" si="4"/>
        <v>1.02</v>
      </c>
      <c r="J4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1" s="7" t="b">
        <f>+ISBLANK(tableOrderlist[[#This Row],[Leverancier]])</f>
        <v>0</v>
      </c>
      <c r="L41" s="7" t="b">
        <f>ISBLANK(tableOrderlist[[#This Row],[Artikel code]])</f>
        <v>0</v>
      </c>
      <c r="M41" s="7" t="b">
        <f>ISBLANK(tableOrderlist[[#This Row],[Hoeveelheid]])</f>
        <v>0</v>
      </c>
      <c r="N4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1" s="7" t="b">
        <f>IF(OR(tableOrderlist[[#This Row],[Totale prijs]]=0,NOT(ISNUMBER(tableOrderlist[[#This Row],[Totale prijs]]))),TRUE,FALSE)</f>
        <v>0</v>
      </c>
      <c r="Q41" s="7" t="b">
        <f>+ISBLANK(tableOrderlist[[#This Row],[Aanvrager]])</f>
        <v>0</v>
      </c>
      <c r="R41" s="7" t="str">
        <f t="shared" si="5"/>
        <v>VOL</v>
      </c>
    </row>
    <row r="42" spans="1:21" x14ac:dyDescent="0.25">
      <c r="A42" s="73">
        <v>14</v>
      </c>
      <c r="B42" s="74" t="s">
        <v>74</v>
      </c>
      <c r="C42" s="75" t="s">
        <v>190</v>
      </c>
      <c r="D42" s="76">
        <v>3</v>
      </c>
      <c r="E42" s="59" t="str">
        <f t="shared" si="0"/>
        <v>Robin van den Dungen</v>
      </c>
      <c r="F42" s="77" t="s">
        <v>191</v>
      </c>
      <c r="G42" s="78" t="str">
        <f>IF(ISBLANK(B42),"",$C$11)</f>
        <v>043800-11539-101</v>
      </c>
      <c r="H42" s="79">
        <v>0.35699999999999998</v>
      </c>
      <c r="I42" s="14">
        <f t="shared" si="4"/>
        <v>1.071</v>
      </c>
      <c r="J4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2" s="7" t="b">
        <f>+ISBLANK(tableOrderlist[[#This Row],[Leverancier]])</f>
        <v>0</v>
      </c>
      <c r="L42" s="7" t="b">
        <f>ISBLANK(tableOrderlist[[#This Row],[Artikel code]])</f>
        <v>0</v>
      </c>
      <c r="M42" s="7" t="b">
        <f>ISBLANK(tableOrderlist[[#This Row],[Hoeveelheid]])</f>
        <v>0</v>
      </c>
      <c r="N4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2" s="7" t="b">
        <f>IF(OR(tableOrderlist[[#This Row],[Totale prijs]]=0,NOT(ISNUMBER(tableOrderlist[[#This Row],[Totale prijs]]))),TRUE,FALSE)</f>
        <v>0</v>
      </c>
      <c r="Q42" s="7" t="b">
        <f>+ISBLANK(tableOrderlist[[#This Row],[Aanvrager]])</f>
        <v>0</v>
      </c>
      <c r="R42" s="7" t="str">
        <f t="shared" si="5"/>
        <v>VOL</v>
      </c>
    </row>
    <row r="43" spans="1:21" x14ac:dyDescent="0.25">
      <c r="A43" s="73">
        <v>15</v>
      </c>
      <c r="B43" s="74" t="s">
        <v>74</v>
      </c>
      <c r="C43" s="117" t="s">
        <v>193</v>
      </c>
      <c r="D43" s="76">
        <v>3</v>
      </c>
      <c r="E43" s="59" t="str">
        <f t="shared" si="0"/>
        <v>Robin van den Dungen</v>
      </c>
      <c r="F43" s="77" t="s">
        <v>194</v>
      </c>
      <c r="G43" s="78"/>
      <c r="H43" s="79">
        <v>0.376</v>
      </c>
      <c r="I43" s="14">
        <f t="shared" si="4"/>
        <v>1.1280000000000001</v>
      </c>
      <c r="J4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43" s="7" t="b">
        <f>+ISBLANK(tableOrderlist[[#This Row],[Leverancier]])</f>
        <v>0</v>
      </c>
      <c r="L43" s="7" t="b">
        <f>ISBLANK(tableOrderlist[[#This Row],[Artikel code]])</f>
        <v>0</v>
      </c>
      <c r="M43" s="7" t="b">
        <f>ISBLANK(tableOrderlist[[#This Row],[Hoeveelheid]])</f>
        <v>0</v>
      </c>
      <c r="N4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43" s="7" t="b">
        <f>IF(OR(tableOrderlist[[#This Row],[Totale prijs]]=0,NOT(ISNUMBER(tableOrderlist[[#This Row],[Totale prijs]]))),TRUE,FALSE)</f>
        <v>0</v>
      </c>
      <c r="Q43" s="7" t="b">
        <f>+ISBLANK(tableOrderlist[[#This Row],[Aanvrager]])</f>
        <v>0</v>
      </c>
      <c r="R43" s="7" t="str">
        <f t="shared" si="5"/>
        <v>VOL</v>
      </c>
    </row>
    <row r="44" spans="1:21" x14ac:dyDescent="0.25">
      <c r="A44" s="73">
        <v>16</v>
      </c>
      <c r="B44" s="74" t="s">
        <v>14</v>
      </c>
      <c r="C44" s="119" t="s">
        <v>202</v>
      </c>
      <c r="D44" s="76">
        <v>8</v>
      </c>
      <c r="E44" s="59" t="str">
        <f t="shared" si="0"/>
        <v>Robin van den Dungen</v>
      </c>
      <c r="F44" s="77" t="s">
        <v>197</v>
      </c>
      <c r="G44" s="78"/>
      <c r="H44" s="79">
        <v>0.1</v>
      </c>
      <c r="I44" s="14">
        <f t="shared" si="4"/>
        <v>0.8</v>
      </c>
      <c r="J4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4" s="7" t="b">
        <f>+ISBLANK(tableOrderlist[[#This Row],[Leverancier]])</f>
        <v>0</v>
      </c>
      <c r="L44" s="7" t="b">
        <f>ISBLANK(tableOrderlist[[#This Row],[Artikel code]])</f>
        <v>0</v>
      </c>
      <c r="M44" s="7" t="b">
        <f>ISBLANK(tableOrderlist[[#This Row],[Hoeveelheid]])</f>
        <v>0</v>
      </c>
      <c r="N4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4" s="7" t="b">
        <f>IF(OR(tableOrderlist[[#This Row],[Totale prijs]]=0,NOT(ISNUMBER(tableOrderlist[[#This Row],[Totale prijs]]))),TRUE,FALSE)</f>
        <v>0</v>
      </c>
      <c r="Q44" s="7" t="b">
        <f>+ISBLANK(tableOrderlist[[#This Row],[Aanvrager]])</f>
        <v>0</v>
      </c>
      <c r="R44" s="7" t="str">
        <f t="shared" si="5"/>
        <v>VOL</v>
      </c>
    </row>
    <row r="45" spans="1:21" x14ac:dyDescent="0.25">
      <c r="A45" s="73">
        <v>17</v>
      </c>
      <c r="B45" s="74" t="s">
        <v>14</v>
      </c>
      <c r="C45" s="75" t="s">
        <v>195</v>
      </c>
      <c r="D45" s="76">
        <v>8</v>
      </c>
      <c r="E45" s="59" t="str">
        <f t="shared" si="0"/>
        <v>Robin van den Dungen</v>
      </c>
      <c r="F45" s="77" t="s">
        <v>198</v>
      </c>
      <c r="G45" s="78"/>
      <c r="H45" s="79">
        <v>1.24</v>
      </c>
      <c r="I45" s="14">
        <f t="shared" si="4"/>
        <v>9.92</v>
      </c>
      <c r="J4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5" s="7" t="b">
        <f>+ISBLANK(tableOrderlist[[#This Row],[Leverancier]])</f>
        <v>0</v>
      </c>
      <c r="L45" s="7" t="b">
        <f>ISBLANK(tableOrderlist[[#This Row],[Artikel code]])</f>
        <v>0</v>
      </c>
      <c r="M45" s="7" t="b">
        <f>ISBLANK(tableOrderlist[[#This Row],[Hoeveelheid]])</f>
        <v>0</v>
      </c>
      <c r="N4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5" s="7" t="b">
        <f>IF(OR(tableOrderlist[[#This Row],[Totale prijs]]=0,NOT(ISNUMBER(tableOrderlist[[#This Row],[Totale prijs]]))),TRUE,FALSE)</f>
        <v>0</v>
      </c>
      <c r="Q45" s="7" t="b">
        <f>+ISBLANK(tableOrderlist[[#This Row],[Aanvrager]])</f>
        <v>0</v>
      </c>
      <c r="R45" s="7" t="str">
        <f t="shared" si="5"/>
        <v>VOL</v>
      </c>
    </row>
    <row r="46" spans="1:21" x14ac:dyDescent="0.25">
      <c r="A46" s="73">
        <v>18</v>
      </c>
      <c r="B46" s="74" t="s">
        <v>14</v>
      </c>
      <c r="C46" s="117" t="s">
        <v>196</v>
      </c>
      <c r="D46" s="76">
        <v>6</v>
      </c>
      <c r="E46" s="59" t="str">
        <f t="shared" si="0"/>
        <v>Robin van den Dungen</v>
      </c>
      <c r="F46" s="77" t="s">
        <v>199</v>
      </c>
      <c r="G46" s="78"/>
      <c r="H46" s="79">
        <v>0.08</v>
      </c>
      <c r="I46" s="14">
        <f t="shared" si="4"/>
        <v>0.48</v>
      </c>
      <c r="J4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6" s="7" t="b">
        <f>+ISBLANK(tableOrderlist[[#This Row],[Leverancier]])</f>
        <v>0</v>
      </c>
      <c r="L46" s="7" t="b">
        <f>ISBLANK(tableOrderlist[[#This Row],[Artikel code]])</f>
        <v>0</v>
      </c>
      <c r="M46" s="7" t="b">
        <f>ISBLANK(tableOrderlist[[#This Row],[Hoeveelheid]])</f>
        <v>0</v>
      </c>
      <c r="N4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6" s="7" t="b">
        <f>IF(OR(tableOrderlist[[#This Row],[Totale prijs]]=0,NOT(ISNUMBER(tableOrderlist[[#This Row],[Totale prijs]]))),TRUE,FALSE)</f>
        <v>0</v>
      </c>
      <c r="Q46" s="7" t="b">
        <f>+ISBLANK(tableOrderlist[[#This Row],[Aanvrager]])</f>
        <v>0</v>
      </c>
      <c r="R46" s="7" t="str">
        <f t="shared" si="5"/>
        <v>VOL</v>
      </c>
    </row>
    <row r="47" spans="1:21" x14ac:dyDescent="0.25">
      <c r="A47" s="73">
        <v>19</v>
      </c>
      <c r="B47" s="74" t="s">
        <v>14</v>
      </c>
      <c r="C47" s="75" t="s">
        <v>201</v>
      </c>
      <c r="D47" s="76">
        <v>6</v>
      </c>
      <c r="E47" s="59" t="str">
        <f t="shared" si="0"/>
        <v>Robin van den Dungen</v>
      </c>
      <c r="F47" s="77" t="s">
        <v>200</v>
      </c>
      <c r="G47" s="78"/>
      <c r="H47" s="79">
        <v>0.33</v>
      </c>
      <c r="I47" s="14">
        <f t="shared" si="4"/>
        <v>1.98</v>
      </c>
      <c r="J4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7" s="7" t="b">
        <f>+ISBLANK(tableOrderlist[[#This Row],[Leverancier]])</f>
        <v>0</v>
      </c>
      <c r="L47" s="7" t="b">
        <f>ISBLANK(tableOrderlist[[#This Row],[Artikel code]])</f>
        <v>0</v>
      </c>
      <c r="M47" s="7" t="b">
        <f>ISBLANK(tableOrderlist[[#This Row],[Hoeveelheid]])</f>
        <v>0</v>
      </c>
      <c r="N4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7" s="7" t="b">
        <f>IF(OR(tableOrderlist[[#This Row],[Totale prijs]]=0,NOT(ISNUMBER(tableOrderlist[[#This Row],[Totale prijs]]))),TRUE,FALSE)</f>
        <v>0</v>
      </c>
      <c r="Q47" s="7" t="b">
        <f>+ISBLANK(tableOrderlist[[#This Row],[Aanvrager]])</f>
        <v>0</v>
      </c>
      <c r="R47" s="7" t="str">
        <f t="shared" si="5"/>
        <v>VOL</v>
      </c>
    </row>
    <row r="48" spans="1:21" x14ac:dyDescent="0.25">
      <c r="A48" s="73">
        <v>20</v>
      </c>
      <c r="B48" s="74" t="s">
        <v>14</v>
      </c>
      <c r="C48" s="75" t="s">
        <v>203</v>
      </c>
      <c r="D48" s="76">
        <v>2</v>
      </c>
      <c r="E48" s="59" t="str">
        <f t="shared" si="0"/>
        <v>Robin van den Dungen</v>
      </c>
      <c r="F48" s="77" t="s">
        <v>207</v>
      </c>
      <c r="G48" s="78"/>
      <c r="H48" s="79">
        <v>0.33</v>
      </c>
      <c r="I48" s="14">
        <f t="shared" si="4"/>
        <v>0.66</v>
      </c>
      <c r="J4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8" s="7" t="b">
        <f>+ISBLANK(tableOrderlist[[#This Row],[Leverancier]])</f>
        <v>0</v>
      </c>
      <c r="L48" s="7" t="b">
        <f>ISBLANK(tableOrderlist[[#This Row],[Artikel code]])</f>
        <v>0</v>
      </c>
      <c r="M48" s="7" t="b">
        <f>ISBLANK(tableOrderlist[[#This Row],[Hoeveelheid]])</f>
        <v>0</v>
      </c>
      <c r="N4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8" s="7" t="b">
        <f>IF(OR(tableOrderlist[[#This Row],[Totale prijs]]=0,NOT(ISNUMBER(tableOrderlist[[#This Row],[Totale prijs]]))),TRUE,FALSE)</f>
        <v>0</v>
      </c>
      <c r="Q48" s="7" t="b">
        <f>+ISBLANK(tableOrderlist[[#This Row],[Aanvrager]])</f>
        <v>0</v>
      </c>
      <c r="R48" s="7" t="str">
        <f t="shared" si="5"/>
        <v>VOL</v>
      </c>
    </row>
    <row r="49" spans="1:18" x14ac:dyDescent="0.25">
      <c r="A49" s="73">
        <v>21</v>
      </c>
      <c r="B49" s="74" t="s">
        <v>14</v>
      </c>
      <c r="C49" s="75" t="s">
        <v>204</v>
      </c>
      <c r="D49" s="76">
        <v>2</v>
      </c>
      <c r="E49" s="59" t="str">
        <f t="shared" si="0"/>
        <v>Robin van den Dungen</v>
      </c>
      <c r="F49" s="77" t="s">
        <v>208</v>
      </c>
      <c r="G49" s="78"/>
      <c r="H49" s="79">
        <v>0.54</v>
      </c>
      <c r="I49" s="14">
        <f t="shared" si="4"/>
        <v>1.08</v>
      </c>
      <c r="J4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49" s="7" t="b">
        <f>+ISBLANK(tableOrderlist[[#This Row],[Leverancier]])</f>
        <v>0</v>
      </c>
      <c r="L49" s="7" t="b">
        <f>ISBLANK(tableOrderlist[[#This Row],[Artikel code]])</f>
        <v>0</v>
      </c>
      <c r="M49" s="7" t="b">
        <f>ISBLANK(tableOrderlist[[#This Row],[Hoeveelheid]])</f>
        <v>0</v>
      </c>
      <c r="N4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4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49" s="7" t="b">
        <f>IF(OR(tableOrderlist[[#This Row],[Totale prijs]]=0,NOT(ISNUMBER(tableOrderlist[[#This Row],[Totale prijs]]))),TRUE,FALSE)</f>
        <v>0</v>
      </c>
      <c r="Q49" s="7" t="b">
        <f>+ISBLANK(tableOrderlist[[#This Row],[Aanvrager]])</f>
        <v>0</v>
      </c>
      <c r="R49" s="7" t="str">
        <f t="shared" si="5"/>
        <v>VOL</v>
      </c>
    </row>
    <row r="50" spans="1:18" x14ac:dyDescent="0.25">
      <c r="A50" s="73">
        <v>22</v>
      </c>
      <c r="B50" s="74" t="s">
        <v>14</v>
      </c>
      <c r="C50" s="75" t="s">
        <v>205</v>
      </c>
      <c r="D50" s="76">
        <v>1</v>
      </c>
      <c r="E50" s="59" t="str">
        <f t="shared" si="0"/>
        <v>Robin van den Dungen</v>
      </c>
      <c r="F50" s="118" t="s">
        <v>206</v>
      </c>
      <c r="G50" s="78"/>
      <c r="H50" s="79">
        <v>0.41</v>
      </c>
      <c r="I50" s="14">
        <f t="shared" si="4"/>
        <v>0.41</v>
      </c>
      <c r="J5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0" s="7" t="b">
        <f>+ISBLANK(tableOrderlist[[#This Row],[Leverancier]])</f>
        <v>0</v>
      </c>
      <c r="L50" s="7" t="b">
        <f>ISBLANK(tableOrderlist[[#This Row],[Artikel code]])</f>
        <v>0</v>
      </c>
      <c r="M50" s="7" t="b">
        <f>ISBLANK(tableOrderlist[[#This Row],[Hoeveelheid]])</f>
        <v>0</v>
      </c>
      <c r="N5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0" s="7" t="b">
        <f>IF(OR(tableOrderlist[[#This Row],[Totale prijs]]=0,NOT(ISNUMBER(tableOrderlist[[#This Row],[Totale prijs]]))),TRUE,FALSE)</f>
        <v>0</v>
      </c>
      <c r="Q50" s="7" t="b">
        <f>+ISBLANK(tableOrderlist[[#This Row],[Aanvrager]])</f>
        <v>0</v>
      </c>
      <c r="R50" s="7" t="str">
        <f t="shared" si="5"/>
        <v>VOL</v>
      </c>
    </row>
    <row r="51" spans="1:18" x14ac:dyDescent="0.25">
      <c r="A51" s="73">
        <v>23</v>
      </c>
      <c r="B51" s="74" t="s">
        <v>8</v>
      </c>
      <c r="C51" s="75" t="s">
        <v>212</v>
      </c>
      <c r="D51" s="76">
        <v>1</v>
      </c>
      <c r="E51" s="59" t="str">
        <f t="shared" si="0"/>
        <v>Robin van den Dungen</v>
      </c>
      <c r="F51" s="77" t="s">
        <v>209</v>
      </c>
      <c r="G51" s="78"/>
      <c r="H51" s="79">
        <v>0.17</v>
      </c>
      <c r="I51" s="14">
        <f t="shared" si="4"/>
        <v>0.17</v>
      </c>
      <c r="J5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1" s="7" t="b">
        <f>+ISBLANK(tableOrderlist[[#This Row],[Leverancier]])</f>
        <v>0</v>
      </c>
      <c r="L51" s="7" t="b">
        <f>ISBLANK(tableOrderlist[[#This Row],[Artikel code]])</f>
        <v>0</v>
      </c>
      <c r="M51" s="7" t="b">
        <f>ISBLANK(tableOrderlist[[#This Row],[Hoeveelheid]])</f>
        <v>0</v>
      </c>
      <c r="N5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1" s="7" t="b">
        <f>IF(OR(tableOrderlist[[#This Row],[Totale prijs]]=0,NOT(ISNUMBER(tableOrderlist[[#This Row],[Totale prijs]]))),TRUE,FALSE)</f>
        <v>0</v>
      </c>
      <c r="Q51" s="7" t="b">
        <f>+ISBLANK(tableOrderlist[[#This Row],[Aanvrager]])</f>
        <v>0</v>
      </c>
      <c r="R51" s="7" t="str">
        <f t="shared" si="5"/>
        <v>VOL</v>
      </c>
    </row>
    <row r="52" spans="1:18" x14ac:dyDescent="0.25">
      <c r="A52" s="73">
        <v>24</v>
      </c>
      <c r="B52" s="74" t="s">
        <v>14</v>
      </c>
      <c r="C52" s="75" t="s">
        <v>211</v>
      </c>
      <c r="D52" s="76">
        <v>1</v>
      </c>
      <c r="E52" s="59" t="str">
        <f t="shared" si="0"/>
        <v>Robin van den Dungen</v>
      </c>
      <c r="F52" s="77" t="s">
        <v>210</v>
      </c>
      <c r="G52" s="78"/>
      <c r="H52" s="79">
        <v>1.65</v>
      </c>
      <c r="I52" s="14">
        <f t="shared" si="4"/>
        <v>1.65</v>
      </c>
      <c r="J5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2" s="7" t="b">
        <f>+ISBLANK(tableOrderlist[[#This Row],[Leverancier]])</f>
        <v>0</v>
      </c>
      <c r="L52" s="7" t="b">
        <f>ISBLANK(tableOrderlist[[#This Row],[Artikel code]])</f>
        <v>0</v>
      </c>
      <c r="M52" s="7" t="b">
        <f>ISBLANK(tableOrderlist[[#This Row],[Hoeveelheid]])</f>
        <v>0</v>
      </c>
      <c r="N5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2" s="7" t="b">
        <f>IF(OR(tableOrderlist[[#This Row],[Totale prijs]]=0,NOT(ISNUMBER(tableOrderlist[[#This Row],[Totale prijs]]))),TRUE,FALSE)</f>
        <v>0</v>
      </c>
      <c r="Q52" s="7" t="b">
        <f>+ISBLANK(tableOrderlist[[#This Row],[Aanvrager]])</f>
        <v>0</v>
      </c>
      <c r="R52" s="7" t="str">
        <f t="shared" si="5"/>
        <v>VOL</v>
      </c>
    </row>
    <row r="53" spans="1:18" x14ac:dyDescent="0.25">
      <c r="A53" s="73">
        <v>25</v>
      </c>
      <c r="B53" s="74" t="s">
        <v>14</v>
      </c>
      <c r="C53" s="75" t="s">
        <v>213</v>
      </c>
      <c r="D53" s="76">
        <v>5</v>
      </c>
      <c r="E53" s="59" t="str">
        <f t="shared" si="0"/>
        <v>Robin van den Dungen</v>
      </c>
      <c r="F53" s="77" t="s">
        <v>214</v>
      </c>
      <c r="G53" s="78" t="str">
        <f t="shared" si="6"/>
        <v>043800-11539-101</v>
      </c>
      <c r="H53" s="79">
        <v>0.74</v>
      </c>
      <c r="I53" s="14">
        <f t="shared" ref="I53:I68" si="7">IF(AND(ISNUMBER(G53),NOT(ISNUMBER(H53))),D53*(G53*1.21),IF(AND(ISNUMBER(H53),NOT(ISNUMBER(G53))),D53*H53,IF(AND(ISNUMBER(G53),ISNUMBER(H53)),"Ex or Inc VAT price", 0)))</f>
        <v>3.7</v>
      </c>
      <c r="J5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3" s="7" t="b">
        <f>+ISBLANK(tableOrderlist[[#This Row],[Leverancier]])</f>
        <v>0</v>
      </c>
      <c r="L53" s="7" t="b">
        <f>ISBLANK(tableOrderlist[[#This Row],[Artikel code]])</f>
        <v>0</v>
      </c>
      <c r="M53" s="7" t="b">
        <f>ISBLANK(tableOrderlist[[#This Row],[Hoeveelheid]])</f>
        <v>0</v>
      </c>
      <c r="N5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3" s="7" t="b">
        <f>IF(OR(tableOrderlist[[#This Row],[Totale prijs]]=0,NOT(ISNUMBER(tableOrderlist[[#This Row],[Totale prijs]]))),TRUE,FALSE)</f>
        <v>0</v>
      </c>
      <c r="Q53" s="7" t="b">
        <f>+ISBLANK(tableOrderlist[[#This Row],[Aanvrager]])</f>
        <v>0</v>
      </c>
      <c r="R53" s="7" t="str">
        <f t="shared" ref="R53:R68" si="8">IF(AND(B53="",C53="",D53="",F53="",H53=""),"LEEG",IF(AND(B53&lt;&gt;"",C53&lt;&gt;"",D53&lt;&gt;"",F53&lt;&gt;"",H53&lt;&gt;""),"VOL","NIET COMPLEET"))</f>
        <v>VOL</v>
      </c>
    </row>
    <row r="54" spans="1:18" x14ac:dyDescent="0.25">
      <c r="A54" s="73">
        <v>26</v>
      </c>
      <c r="B54" s="74" t="s">
        <v>14</v>
      </c>
      <c r="C54" s="75" t="s">
        <v>216</v>
      </c>
      <c r="D54" s="76">
        <v>1</v>
      </c>
      <c r="E54" s="59" t="str">
        <f t="shared" si="0"/>
        <v>Robin van den Dungen</v>
      </c>
      <c r="F54" s="77" t="s">
        <v>215</v>
      </c>
      <c r="G54" s="78" t="str">
        <f t="shared" si="6"/>
        <v>043800-11539-101</v>
      </c>
      <c r="H54" s="79">
        <v>1.65</v>
      </c>
      <c r="I54" s="14">
        <f t="shared" si="7"/>
        <v>1.65</v>
      </c>
      <c r="J5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0</v>
      </c>
      <c r="K54" s="7" t="b">
        <f>+ISBLANK(tableOrderlist[[#This Row],[Leverancier]])</f>
        <v>0</v>
      </c>
      <c r="L54" s="7" t="b">
        <f>ISBLANK(tableOrderlist[[#This Row],[Artikel code]])</f>
        <v>0</v>
      </c>
      <c r="M54" s="7" t="b">
        <f>ISBLANK(tableOrderlist[[#This Row],[Hoeveelheid]])</f>
        <v>0</v>
      </c>
      <c r="N5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1</v>
      </c>
      <c r="P54" s="7" t="b">
        <f>IF(OR(tableOrderlist[[#This Row],[Totale prijs]]=0,NOT(ISNUMBER(tableOrderlist[[#This Row],[Totale prijs]]))),TRUE,FALSE)</f>
        <v>0</v>
      </c>
      <c r="Q54" s="7" t="b">
        <f>+ISBLANK(tableOrderlist[[#This Row],[Aanvrager]])</f>
        <v>0</v>
      </c>
      <c r="R54" s="7" t="str">
        <f t="shared" si="8"/>
        <v>VOL</v>
      </c>
    </row>
    <row r="55" spans="1:18" x14ac:dyDescent="0.25">
      <c r="A55" s="73">
        <v>27</v>
      </c>
      <c r="B55" s="74" t="s">
        <v>74</v>
      </c>
      <c r="C55" s="80" t="s">
        <v>192</v>
      </c>
      <c r="D55" s="76">
        <v>2</v>
      </c>
      <c r="E55" s="59" t="str">
        <f t="shared" si="0"/>
        <v>Robin van den Dungen</v>
      </c>
      <c r="F55" s="74" t="s">
        <v>217</v>
      </c>
      <c r="G55" s="78" t="str">
        <f t="shared" si="6"/>
        <v>043800-11539-101</v>
      </c>
      <c r="H55" s="79">
        <v>2.4900000000000002</v>
      </c>
      <c r="I55" s="14">
        <f t="shared" si="7"/>
        <v>4.9800000000000004</v>
      </c>
      <c r="J5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5" s="7" t="b">
        <f>+ISBLANK(tableOrderlist[[#This Row],[Leverancier]])</f>
        <v>0</v>
      </c>
      <c r="L55" s="7" t="b">
        <f>ISBLANK(tableOrderlist[[#This Row],[Artikel code]])</f>
        <v>0</v>
      </c>
      <c r="M55" s="7" t="b">
        <f>ISBLANK(tableOrderlist[[#This Row],[Hoeveelheid]])</f>
        <v>0</v>
      </c>
      <c r="N5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5" s="7" t="b">
        <f>IF(OR(tableOrderlist[[#This Row],[Totale prijs]]=0,NOT(ISNUMBER(tableOrderlist[[#This Row],[Totale prijs]]))),TRUE,FALSE)</f>
        <v>0</v>
      </c>
      <c r="Q55" s="7" t="b">
        <f>+ISBLANK(tableOrderlist[[#This Row],[Aanvrager]])</f>
        <v>0</v>
      </c>
      <c r="R55" s="7" t="str">
        <f t="shared" si="8"/>
        <v>VOL</v>
      </c>
    </row>
    <row r="56" spans="1:18" x14ac:dyDescent="0.25">
      <c r="A56" s="73">
        <v>28</v>
      </c>
      <c r="B56" s="74" t="s">
        <v>74</v>
      </c>
      <c r="C56" s="80" t="s">
        <v>220</v>
      </c>
      <c r="D56" s="76">
        <v>3</v>
      </c>
      <c r="E56" s="59" t="str">
        <f t="shared" si="0"/>
        <v>Robin van den Dungen</v>
      </c>
      <c r="F56" s="74" t="s">
        <v>218</v>
      </c>
      <c r="G56" s="78" t="str">
        <f t="shared" si="6"/>
        <v>043800-11539-101</v>
      </c>
      <c r="H56" s="79">
        <v>0.13200000000000001</v>
      </c>
      <c r="I56" s="14">
        <f t="shared" si="7"/>
        <v>0.39600000000000002</v>
      </c>
      <c r="J5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6" s="7" t="b">
        <f>+ISBLANK(tableOrderlist[[#This Row],[Leverancier]])</f>
        <v>0</v>
      </c>
      <c r="L56" s="7" t="b">
        <f>ISBLANK(tableOrderlist[[#This Row],[Artikel code]])</f>
        <v>0</v>
      </c>
      <c r="M56" s="7" t="b">
        <f>ISBLANK(tableOrderlist[[#This Row],[Hoeveelheid]])</f>
        <v>0</v>
      </c>
      <c r="N5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6" s="7" t="b">
        <f>IF(OR(tableOrderlist[[#This Row],[Totale prijs]]=0,NOT(ISNUMBER(tableOrderlist[[#This Row],[Totale prijs]]))),TRUE,FALSE)</f>
        <v>0</v>
      </c>
      <c r="Q56" s="7" t="b">
        <f>+ISBLANK(tableOrderlist[[#This Row],[Aanvrager]])</f>
        <v>0</v>
      </c>
      <c r="R56" s="7" t="str">
        <f t="shared" si="8"/>
        <v>VOL</v>
      </c>
    </row>
    <row r="57" spans="1:18" x14ac:dyDescent="0.25">
      <c r="A57" s="73">
        <v>29</v>
      </c>
      <c r="B57" s="74" t="s">
        <v>74</v>
      </c>
      <c r="C57" s="80" t="s">
        <v>221</v>
      </c>
      <c r="D57" s="76">
        <v>1</v>
      </c>
      <c r="E57" s="59" t="str">
        <f t="shared" si="0"/>
        <v>Robin van den Dungen</v>
      </c>
      <c r="F57" s="74" t="s">
        <v>219</v>
      </c>
      <c r="G57" s="78" t="str">
        <f t="shared" si="6"/>
        <v>043800-11539-101</v>
      </c>
      <c r="H57" s="79">
        <v>0.16900000000000001</v>
      </c>
      <c r="I57" s="14">
        <f t="shared" si="7"/>
        <v>0.16900000000000001</v>
      </c>
      <c r="J5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7" s="7" t="b">
        <f>+ISBLANK(tableOrderlist[[#This Row],[Leverancier]])</f>
        <v>0</v>
      </c>
      <c r="L57" s="7" t="b">
        <f>ISBLANK(tableOrderlist[[#This Row],[Artikel code]])</f>
        <v>0</v>
      </c>
      <c r="M57" s="7" t="b">
        <f>ISBLANK(tableOrderlist[[#This Row],[Hoeveelheid]])</f>
        <v>0</v>
      </c>
      <c r="N5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7" s="7" t="b">
        <f>IF(OR(tableOrderlist[[#This Row],[Totale prijs]]=0,NOT(ISNUMBER(tableOrderlist[[#This Row],[Totale prijs]]))),TRUE,FALSE)</f>
        <v>0</v>
      </c>
      <c r="Q57" s="7" t="b">
        <f>+ISBLANK(tableOrderlist[[#This Row],[Aanvrager]])</f>
        <v>0</v>
      </c>
      <c r="R57" s="7" t="str">
        <f t="shared" si="8"/>
        <v>VOL</v>
      </c>
    </row>
    <row r="58" spans="1:18" x14ac:dyDescent="0.25">
      <c r="A58" s="73">
        <v>30</v>
      </c>
      <c r="B58" s="74" t="s">
        <v>74</v>
      </c>
      <c r="C58" s="80" t="s">
        <v>177</v>
      </c>
      <c r="D58" s="76">
        <v>40</v>
      </c>
      <c r="E58" s="59" t="str">
        <f t="shared" si="0"/>
        <v>Robin van den Dungen</v>
      </c>
      <c r="F58" s="74" t="s">
        <v>180</v>
      </c>
      <c r="G58" s="78" t="str">
        <f t="shared" si="6"/>
        <v>043800-11539-101</v>
      </c>
      <c r="H58" s="79">
        <v>2.1000000000000001E-2</v>
      </c>
      <c r="I58" s="14">
        <f t="shared" si="7"/>
        <v>0.84000000000000008</v>
      </c>
      <c r="J5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8" s="7" t="b">
        <f>+ISBLANK(tableOrderlist[[#This Row],[Leverancier]])</f>
        <v>0</v>
      </c>
      <c r="L58" s="7" t="b">
        <f>ISBLANK(tableOrderlist[[#This Row],[Artikel code]])</f>
        <v>0</v>
      </c>
      <c r="M58" s="7" t="b">
        <f>ISBLANK(tableOrderlist[[#This Row],[Hoeveelheid]])</f>
        <v>0</v>
      </c>
      <c r="N5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8" s="7" t="b">
        <f>IF(OR(tableOrderlist[[#This Row],[Totale prijs]]=0,NOT(ISNUMBER(tableOrderlist[[#This Row],[Totale prijs]]))),TRUE,FALSE)</f>
        <v>0</v>
      </c>
      <c r="Q58" s="7" t="b">
        <f>+ISBLANK(tableOrderlist[[#This Row],[Aanvrager]])</f>
        <v>0</v>
      </c>
      <c r="R58" s="7" t="str">
        <f t="shared" si="8"/>
        <v>VOL</v>
      </c>
    </row>
    <row r="59" spans="1:18" x14ac:dyDescent="0.25">
      <c r="A59" s="73">
        <v>31</v>
      </c>
      <c r="B59" s="74" t="s">
        <v>74</v>
      </c>
      <c r="C59" s="80" t="s">
        <v>185</v>
      </c>
      <c r="D59" s="76">
        <v>10</v>
      </c>
      <c r="E59" s="59" t="str">
        <f t="shared" si="0"/>
        <v>Robin van den Dungen</v>
      </c>
      <c r="F59" s="74" t="s">
        <v>182</v>
      </c>
      <c r="G59" s="78" t="str">
        <f t="shared" si="6"/>
        <v>043800-11539-101</v>
      </c>
      <c r="H59" s="79">
        <v>3.4000000000000002E-2</v>
      </c>
      <c r="I59" s="14">
        <f t="shared" si="7"/>
        <v>0.34</v>
      </c>
      <c r="J59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59" s="7" t="b">
        <f>+ISBLANK(tableOrderlist[[#This Row],[Leverancier]])</f>
        <v>0</v>
      </c>
      <c r="L59" s="7" t="b">
        <f>ISBLANK(tableOrderlist[[#This Row],[Artikel code]])</f>
        <v>0</v>
      </c>
      <c r="M59" s="7" t="b">
        <f>ISBLANK(tableOrderlist[[#This Row],[Hoeveelheid]])</f>
        <v>0</v>
      </c>
      <c r="N59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59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59" s="7" t="b">
        <f>IF(OR(tableOrderlist[[#This Row],[Totale prijs]]=0,NOT(ISNUMBER(tableOrderlist[[#This Row],[Totale prijs]]))),TRUE,FALSE)</f>
        <v>0</v>
      </c>
      <c r="Q59" s="7" t="b">
        <f>+ISBLANK(tableOrderlist[[#This Row],[Aanvrager]])</f>
        <v>0</v>
      </c>
      <c r="R59" s="7" t="str">
        <f t="shared" si="8"/>
        <v>VOL</v>
      </c>
    </row>
    <row r="60" spans="1:18" x14ac:dyDescent="0.25">
      <c r="A60" s="73">
        <v>32</v>
      </c>
      <c r="B60" s="74" t="s">
        <v>74</v>
      </c>
      <c r="C60" s="80" t="s">
        <v>178</v>
      </c>
      <c r="D60" s="76">
        <v>5</v>
      </c>
      <c r="E60" s="59" t="str">
        <f t="shared" si="0"/>
        <v>Robin van den Dungen</v>
      </c>
      <c r="F60" s="74" t="s">
        <v>230</v>
      </c>
      <c r="G60" s="78" t="str">
        <f t="shared" si="6"/>
        <v>043800-11539-101</v>
      </c>
      <c r="H60" s="79">
        <v>0.154</v>
      </c>
      <c r="I60" s="14">
        <f t="shared" si="7"/>
        <v>0.77</v>
      </c>
      <c r="J60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0" s="7" t="b">
        <f>+ISBLANK(tableOrderlist[[#This Row],[Leverancier]])</f>
        <v>0</v>
      </c>
      <c r="L60" s="7" t="b">
        <f>ISBLANK(tableOrderlist[[#This Row],[Artikel code]])</f>
        <v>0</v>
      </c>
      <c r="M60" s="7" t="b">
        <f>ISBLANK(tableOrderlist[[#This Row],[Hoeveelheid]])</f>
        <v>0</v>
      </c>
      <c r="N60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0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0" s="7" t="b">
        <f>IF(OR(tableOrderlist[[#This Row],[Totale prijs]]=0,NOT(ISNUMBER(tableOrderlist[[#This Row],[Totale prijs]]))),TRUE,FALSE)</f>
        <v>0</v>
      </c>
      <c r="Q60" s="7" t="b">
        <f>+ISBLANK(tableOrderlist[[#This Row],[Aanvrager]])</f>
        <v>0</v>
      </c>
      <c r="R60" s="7" t="str">
        <f t="shared" si="8"/>
        <v>VOL</v>
      </c>
    </row>
    <row r="61" spans="1:18" x14ac:dyDescent="0.25">
      <c r="A61" s="73">
        <v>33</v>
      </c>
      <c r="B61" s="74" t="s">
        <v>74</v>
      </c>
      <c r="C61" s="80" t="s">
        <v>175</v>
      </c>
      <c r="D61" s="76">
        <v>25</v>
      </c>
      <c r="E61" s="59" t="str">
        <f t="shared" si="0"/>
        <v>Robin van den Dungen</v>
      </c>
      <c r="F61" s="74" t="s">
        <v>231</v>
      </c>
      <c r="G61" s="78" t="str">
        <f t="shared" si="6"/>
        <v>043800-11539-101</v>
      </c>
      <c r="H61" s="79">
        <v>0.61599999999999999</v>
      </c>
      <c r="I61" s="14">
        <f t="shared" si="7"/>
        <v>15.4</v>
      </c>
      <c r="J61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1" s="7" t="b">
        <f>+ISBLANK(tableOrderlist[[#This Row],[Leverancier]])</f>
        <v>0</v>
      </c>
      <c r="L61" s="7" t="b">
        <f>ISBLANK(tableOrderlist[[#This Row],[Artikel code]])</f>
        <v>0</v>
      </c>
      <c r="M61" s="7" t="b">
        <f>ISBLANK(tableOrderlist[[#This Row],[Hoeveelheid]])</f>
        <v>0</v>
      </c>
      <c r="N61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1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1" s="7" t="b">
        <f>IF(OR(tableOrderlist[[#This Row],[Totale prijs]]=0,NOT(ISNUMBER(tableOrderlist[[#This Row],[Totale prijs]]))),TRUE,FALSE)</f>
        <v>0</v>
      </c>
      <c r="Q61" s="7" t="b">
        <f>+ISBLANK(tableOrderlist[[#This Row],[Aanvrager]])</f>
        <v>0</v>
      </c>
      <c r="R61" s="7" t="str">
        <f t="shared" si="8"/>
        <v>VOL</v>
      </c>
    </row>
    <row r="62" spans="1:18" x14ac:dyDescent="0.25">
      <c r="A62" s="73">
        <v>34</v>
      </c>
      <c r="B62" s="74" t="s">
        <v>74</v>
      </c>
      <c r="C62" s="80" t="s">
        <v>183</v>
      </c>
      <c r="D62" s="76">
        <v>14</v>
      </c>
      <c r="E62" s="59" t="str">
        <f t="shared" si="0"/>
        <v>Robin van den Dungen</v>
      </c>
      <c r="F62" s="74" t="s">
        <v>184</v>
      </c>
      <c r="G62" s="78" t="str">
        <f t="shared" si="6"/>
        <v>043800-11539-101</v>
      </c>
      <c r="H62" s="79">
        <v>0.22600000000000001</v>
      </c>
      <c r="I62" s="14">
        <f t="shared" si="7"/>
        <v>3.1640000000000001</v>
      </c>
      <c r="J62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2" s="7" t="b">
        <f>+ISBLANK(tableOrderlist[[#This Row],[Leverancier]])</f>
        <v>0</v>
      </c>
      <c r="L62" s="7" t="b">
        <f>ISBLANK(tableOrderlist[[#This Row],[Artikel code]])</f>
        <v>0</v>
      </c>
      <c r="M62" s="7" t="b">
        <f>ISBLANK(tableOrderlist[[#This Row],[Hoeveelheid]])</f>
        <v>0</v>
      </c>
      <c r="N62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2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2" s="7" t="b">
        <f>IF(OR(tableOrderlist[[#This Row],[Totale prijs]]=0,NOT(ISNUMBER(tableOrderlist[[#This Row],[Totale prijs]]))),TRUE,FALSE)</f>
        <v>0</v>
      </c>
      <c r="Q62" s="7" t="b">
        <f>+ISBLANK(tableOrderlist[[#This Row],[Aanvrager]])</f>
        <v>0</v>
      </c>
      <c r="R62" s="7" t="str">
        <f t="shared" si="8"/>
        <v>VOL</v>
      </c>
    </row>
    <row r="63" spans="1:18" x14ac:dyDescent="0.25">
      <c r="A63" s="73">
        <v>35</v>
      </c>
      <c r="B63" s="74" t="s">
        <v>74</v>
      </c>
      <c r="C63" s="80" t="s">
        <v>223</v>
      </c>
      <c r="D63" s="76">
        <v>5</v>
      </c>
      <c r="E63" s="59" t="str">
        <f t="shared" si="0"/>
        <v>Robin van den Dungen</v>
      </c>
      <c r="F63" s="74" t="s">
        <v>224</v>
      </c>
      <c r="G63" s="78" t="str">
        <f t="shared" si="6"/>
        <v>043800-11539-101</v>
      </c>
      <c r="H63" s="79">
        <v>0.34799999999999998</v>
      </c>
      <c r="I63" s="14">
        <f t="shared" si="7"/>
        <v>1.7399999999999998</v>
      </c>
      <c r="J63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3" s="7" t="b">
        <f>+ISBLANK(tableOrderlist[[#This Row],[Leverancier]])</f>
        <v>0</v>
      </c>
      <c r="L63" s="7" t="b">
        <f>ISBLANK(tableOrderlist[[#This Row],[Artikel code]])</f>
        <v>0</v>
      </c>
      <c r="M63" s="7" t="b">
        <f>ISBLANK(tableOrderlist[[#This Row],[Hoeveelheid]])</f>
        <v>0</v>
      </c>
      <c r="N63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3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3" s="7" t="b">
        <f>IF(OR(tableOrderlist[[#This Row],[Totale prijs]]=0,NOT(ISNUMBER(tableOrderlist[[#This Row],[Totale prijs]]))),TRUE,FALSE)</f>
        <v>0</v>
      </c>
      <c r="Q63" s="7" t="b">
        <f>+ISBLANK(tableOrderlist[[#This Row],[Aanvrager]])</f>
        <v>0</v>
      </c>
      <c r="R63" s="7" t="str">
        <f t="shared" si="8"/>
        <v>VOL</v>
      </c>
    </row>
    <row r="64" spans="1:18" x14ac:dyDescent="0.25">
      <c r="A64" s="73">
        <v>36</v>
      </c>
      <c r="B64" s="74" t="s">
        <v>74</v>
      </c>
      <c r="C64" s="80" t="s">
        <v>225</v>
      </c>
      <c r="D64" s="76">
        <v>5</v>
      </c>
      <c r="E64" s="59" t="str">
        <f t="shared" si="0"/>
        <v>Robin van den Dungen</v>
      </c>
      <c r="F64" s="74" t="s">
        <v>226</v>
      </c>
      <c r="G64" s="78"/>
      <c r="H64" s="79">
        <v>0.65800000000000003</v>
      </c>
      <c r="I64" s="14">
        <f t="shared" si="7"/>
        <v>3.29</v>
      </c>
      <c r="J64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4" s="7" t="b">
        <f>+ISBLANK(tableOrderlist[[#This Row],[Leverancier]])</f>
        <v>0</v>
      </c>
      <c r="L64" s="7" t="b">
        <f>ISBLANK(tableOrderlist[[#This Row],[Artikel code]])</f>
        <v>0</v>
      </c>
      <c r="M64" s="7" t="b">
        <f>ISBLANK(tableOrderlist[[#This Row],[Hoeveelheid]])</f>
        <v>0</v>
      </c>
      <c r="N64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4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4" s="7" t="b">
        <f>IF(OR(tableOrderlist[[#This Row],[Totale prijs]]=0,NOT(ISNUMBER(tableOrderlist[[#This Row],[Totale prijs]]))),TRUE,FALSE)</f>
        <v>0</v>
      </c>
      <c r="Q64" s="7" t="b">
        <f>+ISBLANK(tableOrderlist[[#This Row],[Aanvrager]])</f>
        <v>0</v>
      </c>
      <c r="R64" s="7" t="str">
        <f>IF(AND(B64="",C64="",D64="",F64="",H64=""),"LEEG",IF(AND(B64&lt;&gt;"",C64&lt;&gt;"",D64&lt;&gt;"",F64&lt;&gt;"",H64&lt;&gt;""),"VOL","NIET COMPLEET"))</f>
        <v>VOL</v>
      </c>
    </row>
    <row r="65" spans="1:18" x14ac:dyDescent="0.25">
      <c r="A65" s="73">
        <v>37</v>
      </c>
      <c r="B65" s="74" t="s">
        <v>74</v>
      </c>
      <c r="C65" s="80" t="s">
        <v>227</v>
      </c>
      <c r="D65" s="76">
        <v>3</v>
      </c>
      <c r="E65" s="59" t="str">
        <f t="shared" si="0"/>
        <v>Robin van den Dungen</v>
      </c>
      <c r="F65" s="74" t="s">
        <v>222</v>
      </c>
      <c r="G65" s="78"/>
      <c r="H65" s="79">
        <v>0.39500000000000002</v>
      </c>
      <c r="I65" s="14">
        <f t="shared" si="7"/>
        <v>1.1850000000000001</v>
      </c>
      <c r="J65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5" s="7" t="b">
        <f>+ISBLANK(tableOrderlist[[#This Row],[Leverancier]])</f>
        <v>0</v>
      </c>
      <c r="L65" s="7" t="b">
        <f>ISBLANK(tableOrderlist[[#This Row],[Artikel code]])</f>
        <v>0</v>
      </c>
      <c r="M65" s="7" t="b">
        <f>ISBLANK(tableOrderlist[[#This Row],[Hoeveelheid]])</f>
        <v>0</v>
      </c>
      <c r="N65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5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5" s="7" t="b">
        <f>IF(OR(tableOrderlist[[#This Row],[Totale prijs]]=0,NOT(ISNUMBER(tableOrderlist[[#This Row],[Totale prijs]]))),TRUE,FALSE)</f>
        <v>0</v>
      </c>
      <c r="Q65" s="7" t="b">
        <f>+ISBLANK(tableOrderlist[[#This Row],[Aanvrager]])</f>
        <v>0</v>
      </c>
      <c r="R65" s="7" t="str">
        <f>IF(AND(B65="",C65="",D65="",F65="",H65=""),"LEEG",IF(AND(B65&lt;&gt;"",C65&lt;&gt;"",D65&lt;&gt;"",F65&lt;&gt;"",H65&lt;&gt;""),"VOL","NIET COMPLEET"))</f>
        <v>VOL</v>
      </c>
    </row>
    <row r="66" spans="1:18" x14ac:dyDescent="0.25">
      <c r="A66" s="73">
        <v>38</v>
      </c>
      <c r="B66" s="74" t="s">
        <v>74</v>
      </c>
      <c r="C66" s="80" t="s">
        <v>179</v>
      </c>
      <c r="D66" s="76">
        <v>21</v>
      </c>
      <c r="E66" s="59" t="str">
        <f t="shared" si="0"/>
        <v>Robin van den Dungen</v>
      </c>
      <c r="F66" s="74" t="s">
        <v>181</v>
      </c>
      <c r="G66" s="78"/>
      <c r="H66" s="79">
        <v>0.16900000000000001</v>
      </c>
      <c r="I66" s="14">
        <f t="shared" si="7"/>
        <v>3.5490000000000004</v>
      </c>
      <c r="J66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6" s="7" t="b">
        <f>+ISBLANK(tableOrderlist[[#This Row],[Leverancier]])</f>
        <v>0</v>
      </c>
      <c r="L66" s="7" t="b">
        <f>ISBLANK(tableOrderlist[[#This Row],[Artikel code]])</f>
        <v>0</v>
      </c>
      <c r="M66" s="7" t="b">
        <f>ISBLANK(tableOrderlist[[#This Row],[Hoeveelheid]])</f>
        <v>0</v>
      </c>
      <c r="N66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6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6" s="7" t="b">
        <f>IF(OR(tableOrderlist[[#This Row],[Totale prijs]]=0,NOT(ISNUMBER(tableOrderlist[[#This Row],[Totale prijs]]))),TRUE,FALSE)</f>
        <v>0</v>
      </c>
      <c r="Q66" s="7" t="b">
        <f>+ISBLANK(tableOrderlist[[#This Row],[Aanvrager]])</f>
        <v>0</v>
      </c>
      <c r="R66" s="7" t="str">
        <f t="shared" si="8"/>
        <v>VOL</v>
      </c>
    </row>
    <row r="67" spans="1:18" x14ac:dyDescent="0.25">
      <c r="A67" s="73">
        <v>39</v>
      </c>
      <c r="B67" s="74" t="s">
        <v>74</v>
      </c>
      <c r="C67" s="80" t="s">
        <v>228</v>
      </c>
      <c r="D67" s="76">
        <v>10</v>
      </c>
      <c r="E67" s="59" t="str">
        <f t="shared" si="0"/>
        <v>Robin van den Dungen</v>
      </c>
      <c r="F67" s="74" t="s">
        <v>229</v>
      </c>
      <c r="G67" s="78"/>
      <c r="H67" s="79">
        <v>0.16900000000000001</v>
      </c>
      <c r="I67" s="14">
        <f t="shared" si="7"/>
        <v>1.6900000000000002</v>
      </c>
      <c r="J67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7" s="7" t="b">
        <f>+ISBLANK(tableOrderlist[[#This Row],[Leverancier]])</f>
        <v>0</v>
      </c>
      <c r="L67" s="7" t="b">
        <f>ISBLANK(tableOrderlist[[#This Row],[Artikel code]])</f>
        <v>0</v>
      </c>
      <c r="M67" s="7" t="b">
        <f>ISBLANK(tableOrderlist[[#This Row],[Hoeveelheid]])</f>
        <v>0</v>
      </c>
      <c r="N67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7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7" s="7" t="b">
        <f>IF(OR(tableOrderlist[[#This Row],[Totale prijs]]=0,NOT(ISNUMBER(tableOrderlist[[#This Row],[Totale prijs]]))),TRUE,FALSE)</f>
        <v>0</v>
      </c>
      <c r="Q67" s="7" t="b">
        <f>+ISBLANK(tableOrderlist[[#This Row],[Aanvrager]])</f>
        <v>0</v>
      </c>
      <c r="R67" s="7" t="str">
        <f t="shared" si="8"/>
        <v>VOL</v>
      </c>
    </row>
    <row r="68" spans="1:18" x14ac:dyDescent="0.25">
      <c r="A68" s="73">
        <v>40</v>
      </c>
      <c r="B68" s="74" t="s">
        <v>74</v>
      </c>
      <c r="C68" s="80" t="s">
        <v>186</v>
      </c>
      <c r="D68" s="76">
        <v>10</v>
      </c>
      <c r="E68" s="59" t="str">
        <f t="shared" si="0"/>
        <v>Robin van den Dungen</v>
      </c>
      <c r="F68" s="74" t="s">
        <v>187</v>
      </c>
      <c r="G68" s="78"/>
      <c r="H68" s="79">
        <v>0.14899999999999999</v>
      </c>
      <c r="I68" s="14">
        <f t="shared" si="7"/>
        <v>1.49</v>
      </c>
      <c r="J68" s="7" t="b">
        <f>IF(OR(tableOrderlist[[#This Row],[Leverancier]]=Booleans!$A$2,tableOrderlist[[#This Row],[Leverancier]]=Booleans!$A$3,tableOrderlist[[#This Row],[Leverancier]]=Booleans!$A$4,tableOrderlist[[#This Row],[Leverancier]]=Booleans!$A$5,tableOrderlist[[#This Row],[Leverancier]]=Booleans!$A$6,tableOrderlist[[#This Row],[Leverancier]]=Booleans!$A$7,tableOrderlist[[#This Row],[Leverancier]]=Booleans!$A$8,tableOrderlist[[#This Row],[Leverancier]]=Booleans!$A$9),FALSE,TRUE)</f>
        <v>1</v>
      </c>
      <c r="K68" s="7" t="b">
        <f>+ISBLANK(tableOrderlist[[#This Row],[Leverancier]])</f>
        <v>0</v>
      </c>
      <c r="L68" s="7" t="b">
        <f>ISBLANK(tableOrderlist[[#This Row],[Artikel code]])</f>
        <v>0</v>
      </c>
      <c r="M68" s="7" t="b">
        <f>ISBLANK(tableOrderlist[[#This Row],[Hoeveelheid]])</f>
        <v>0</v>
      </c>
      <c r="N68" s="7" t="b">
        <f>IF(AND(ISBLANK(tableOrderlist[[#This Row],[Leverancier]]),ISBLANK(tableOrderlist[[#This Row],[Artikel code]]),ISBLANK(tableOrderlist[[#This Row],[Hoeveelheid]]),ISBLANK(tableOrderlist[[#This Row],[Inkoop nummer ]]),ISBLANK(tableOrderlist[[#This Row],[Item prijs (excl.BTW)]])),TRUE,FALSE)</f>
        <v>0</v>
      </c>
      <c r="O68" s="7" t="b">
        <f>+IF(tableOrderlist[[#This Row],[BoolRowLeeg]],TRUE,IF(AND(tableOrderlist[[#This Row],[BoolDisFout]]=FALSE,tableOrderlist[[#This Row],[BoolDisLeeg]]=FALSE),IF(tableOrderlist[[#This Row],[BoolOrderLeeg]]=FALSE,IF(OR(tableOrderlist[[#This Row],[Totale prijs]]=0,NOT(ISNUMBER(tableOrderlist[[#This Row],[Totale prijs]]))),FALSE,TRUE))))</f>
        <v>0</v>
      </c>
      <c r="P68" s="7" t="b">
        <f>IF(OR(tableOrderlist[[#This Row],[Totale prijs]]=0,NOT(ISNUMBER(tableOrderlist[[#This Row],[Totale prijs]]))),TRUE,FALSE)</f>
        <v>0</v>
      </c>
      <c r="Q68" s="7" t="b">
        <f>+ISBLANK(tableOrderlist[[#This Row],[Aanvrager]])</f>
        <v>0</v>
      </c>
      <c r="R68" s="7" t="str">
        <f t="shared" si="8"/>
        <v>VOL</v>
      </c>
    </row>
    <row r="69" spans="1:18" x14ac:dyDescent="0.25">
      <c r="A69" s="27"/>
      <c r="B69" s="28"/>
      <c r="C69" s="28"/>
      <c r="D69" s="28"/>
      <c r="E69" s="28"/>
      <c r="F69" s="28"/>
      <c r="G69" s="28"/>
      <c r="H69" s="29"/>
      <c r="I69" s="30"/>
      <c r="J69" s="68"/>
      <c r="K69" s="68"/>
      <c r="L69" s="86"/>
    </row>
    <row r="70" spans="1:18" x14ac:dyDescent="0.25">
      <c r="A70" s="27"/>
      <c r="B70" s="28"/>
      <c r="C70" s="28"/>
      <c r="D70" s="28"/>
      <c r="E70" s="28"/>
      <c r="F70" s="28"/>
      <c r="G70" s="28"/>
      <c r="H70" s="29" t="s">
        <v>75</v>
      </c>
      <c r="I70" s="31">
        <f>SUM(tableOrderlist[Totale prijs])</f>
        <v>77.872000000000014</v>
      </c>
      <c r="J70" s="68"/>
      <c r="K70" s="68"/>
      <c r="L70" s="86"/>
    </row>
    <row r="71" spans="1:18" x14ac:dyDescent="0.25">
      <c r="A71" s="27"/>
      <c r="B71" s="28"/>
      <c r="C71" s="28"/>
      <c r="D71" s="28"/>
      <c r="E71" s="28"/>
      <c r="F71" s="28"/>
      <c r="G71" s="28"/>
      <c r="H71" s="29" t="s">
        <v>76</v>
      </c>
      <c r="I71" s="31">
        <f>I70*1.21</f>
        <v>94.225120000000018</v>
      </c>
      <c r="J71" s="68"/>
      <c r="K71" s="68"/>
      <c r="L71" s="86"/>
    </row>
    <row r="72" spans="1:18" ht="46.2" x14ac:dyDescent="0.85">
      <c r="A72" s="27"/>
      <c r="B72" s="28"/>
      <c r="C72" s="71"/>
      <c r="D72" s="57"/>
      <c r="E72" s="28"/>
      <c r="F72" s="28"/>
      <c r="G72" s="28"/>
      <c r="H72" s="29"/>
      <c r="I72" s="30"/>
      <c r="J72" s="68"/>
      <c r="K72" s="68"/>
      <c r="L72" s="86"/>
    </row>
    <row r="73" spans="1:18" x14ac:dyDescent="0.25">
      <c r="A73" s="27"/>
      <c r="C73" s="58" t="s">
        <v>77</v>
      </c>
      <c r="D73" s="28"/>
      <c r="E73" s="28"/>
      <c r="F73" s="28"/>
      <c r="G73" s="28"/>
      <c r="H73" s="29"/>
      <c r="I73" s="30"/>
      <c r="J73" s="68"/>
      <c r="K73" s="68"/>
      <c r="L73" s="86"/>
    </row>
    <row r="74" spans="1:18" x14ac:dyDescent="0.25">
      <c r="A74" s="65" t="s">
        <v>33</v>
      </c>
      <c r="B74" s="28"/>
      <c r="C74" s="28"/>
      <c r="D74" s="28"/>
      <c r="E74" s="28"/>
      <c r="F74" s="28"/>
      <c r="G74" s="28"/>
      <c r="H74" s="29"/>
      <c r="I74" s="30"/>
      <c r="J74" s="68"/>
      <c r="K74" s="68"/>
      <c r="L74" s="86"/>
    </row>
    <row r="75" spans="1:18" x14ac:dyDescent="0.25">
      <c r="A75" s="27"/>
      <c r="B75" s="28"/>
      <c r="C75" s="28"/>
      <c r="D75" s="28"/>
      <c r="E75" s="28"/>
      <c r="F75" s="28"/>
      <c r="G75" s="28"/>
      <c r="H75" s="29"/>
      <c r="I75" s="30"/>
      <c r="J75" s="68"/>
      <c r="K75" s="68"/>
      <c r="L75" s="86"/>
    </row>
    <row r="76" spans="1:18" ht="46.2" x14ac:dyDescent="0.85">
      <c r="A76" s="27"/>
      <c r="B76" s="28"/>
      <c r="C76" s="71"/>
      <c r="D76" s="57"/>
      <c r="E76" s="28"/>
      <c r="F76" s="28"/>
      <c r="G76" s="28"/>
      <c r="H76" s="29"/>
      <c r="I76" s="30"/>
      <c r="J76" s="68"/>
      <c r="K76" s="68"/>
      <c r="L76" s="86"/>
    </row>
    <row r="77" spans="1:18" x14ac:dyDescent="0.25">
      <c r="A77" s="27"/>
      <c r="B77" s="28"/>
      <c r="C77" s="58" t="s">
        <v>78</v>
      </c>
      <c r="D77" s="28"/>
      <c r="E77" s="28"/>
      <c r="F77" s="28"/>
      <c r="G77" s="28"/>
      <c r="H77" s="29"/>
      <c r="I77" s="30"/>
      <c r="J77" s="68"/>
      <c r="K77" s="68"/>
      <c r="L77" s="86"/>
    </row>
    <row r="78" spans="1:18" x14ac:dyDescent="0.25">
      <c r="A78" s="27"/>
      <c r="B78" s="28"/>
      <c r="C78" s="28"/>
      <c r="D78" s="28"/>
      <c r="E78" s="28"/>
      <c r="F78" s="28"/>
      <c r="G78" s="28"/>
      <c r="H78" s="29"/>
      <c r="I78" s="30"/>
      <c r="J78" s="68"/>
      <c r="K78" s="68"/>
      <c r="L78" s="86"/>
    </row>
    <row r="79" spans="1:18" x14ac:dyDescent="0.25">
      <c r="A79" s="27"/>
      <c r="B79" s="28"/>
      <c r="C79" s="28"/>
      <c r="D79" s="28"/>
      <c r="E79" s="28"/>
      <c r="F79" s="28"/>
      <c r="G79" s="28"/>
      <c r="H79" s="29"/>
      <c r="I79" s="30"/>
      <c r="J79" s="68"/>
      <c r="K79" s="68"/>
      <c r="L79" s="86"/>
    </row>
    <row r="80" spans="1:18" ht="13.8" thickBot="1" x14ac:dyDescent="0.3">
      <c r="A80" s="32"/>
      <c r="B80" s="33"/>
      <c r="C80" s="33"/>
      <c r="D80" s="33"/>
      <c r="E80" s="33"/>
      <c r="F80" s="33"/>
      <c r="G80" s="33"/>
      <c r="H80" s="34"/>
      <c r="I80" s="35"/>
      <c r="J80" s="68"/>
      <c r="K80" s="68"/>
      <c r="L80" s="86"/>
    </row>
    <row r="81" spans="1:12" x14ac:dyDescent="0.25">
      <c r="A81" s="6"/>
      <c r="B81" s="6"/>
      <c r="C81" s="6"/>
      <c r="D81" s="6"/>
      <c r="E81" s="6"/>
      <c r="F81" s="6"/>
      <c r="G81" s="6"/>
      <c r="H81" s="8"/>
      <c r="I81" s="6"/>
      <c r="J81" s="68"/>
      <c r="K81" s="68"/>
      <c r="L81" s="86"/>
    </row>
    <row r="82" spans="1:12" x14ac:dyDescent="0.25">
      <c r="A82" s="6"/>
      <c r="B82" s="6"/>
      <c r="C82" s="6"/>
      <c r="D82" s="6"/>
      <c r="E82" s="6"/>
      <c r="F82" s="6"/>
      <c r="G82" s="6"/>
      <c r="H82" s="8"/>
      <c r="I82" s="6"/>
      <c r="J82" s="68"/>
      <c r="K82" s="68"/>
      <c r="L82" s="86"/>
    </row>
    <row r="83" spans="1:12" x14ac:dyDescent="0.25">
      <c r="A83" s="6"/>
      <c r="B83" s="6"/>
      <c r="C83" s="6"/>
      <c r="D83" s="6"/>
      <c r="E83" s="6"/>
      <c r="F83" s="6"/>
      <c r="G83" s="6"/>
      <c r="H83" s="8"/>
      <c r="I83" s="6"/>
      <c r="J83" s="68"/>
      <c r="K83" s="68"/>
      <c r="L83" s="86"/>
    </row>
    <row r="84" spans="1:12" x14ac:dyDescent="0.25">
      <c r="A84" s="6"/>
      <c r="B84" s="6"/>
      <c r="C84" s="6"/>
      <c r="D84" s="6"/>
      <c r="E84" s="6"/>
      <c r="F84" s="6"/>
      <c r="G84" s="6"/>
      <c r="H84" s="8"/>
      <c r="I84" s="6"/>
      <c r="J84" s="68"/>
      <c r="K84" s="68"/>
      <c r="L84" s="86"/>
    </row>
    <row r="85" spans="1:12" x14ac:dyDescent="0.25">
      <c r="A85" s="6"/>
      <c r="B85" s="6"/>
      <c r="C85" s="6"/>
      <c r="D85" s="6"/>
      <c r="E85" s="6"/>
      <c r="F85" s="6"/>
      <c r="G85" s="6"/>
      <c r="H85" s="8"/>
      <c r="I85" s="6"/>
      <c r="J85" s="68"/>
      <c r="K85" s="68"/>
      <c r="L85" s="86"/>
    </row>
    <row r="86" spans="1:12" x14ac:dyDescent="0.25">
      <c r="A86" s="6"/>
      <c r="B86" s="6"/>
      <c r="C86" s="6"/>
      <c r="D86" s="6"/>
      <c r="E86" s="6"/>
      <c r="F86" s="6"/>
      <c r="G86" s="6"/>
      <c r="H86" s="8"/>
      <c r="I86" s="6"/>
      <c r="J86" s="68"/>
      <c r="K86" s="68"/>
      <c r="L86" s="86"/>
    </row>
    <row r="87" spans="1:12" x14ac:dyDescent="0.25">
      <c r="A87" s="6"/>
      <c r="B87" s="6"/>
      <c r="C87" s="6"/>
      <c r="D87" s="6"/>
      <c r="E87" s="6"/>
      <c r="F87" s="6"/>
      <c r="G87" s="6"/>
      <c r="H87" s="8"/>
      <c r="I87" s="6"/>
      <c r="J87" s="68"/>
      <c r="K87" s="68"/>
      <c r="L87" s="86"/>
    </row>
    <row r="88" spans="1:12" x14ac:dyDescent="0.25">
      <c r="A88" s="6"/>
      <c r="B88" s="6"/>
      <c r="C88" s="6"/>
      <c r="D88" s="6"/>
      <c r="E88" s="6"/>
      <c r="F88" s="6"/>
      <c r="G88" s="6"/>
      <c r="H88" s="8"/>
      <c r="I88" s="6"/>
      <c r="J88" s="68"/>
      <c r="K88" s="68"/>
      <c r="L88" s="86"/>
    </row>
    <row r="89" spans="1:12" x14ac:dyDescent="0.25">
      <c r="A89" s="6"/>
      <c r="B89" s="6"/>
      <c r="C89" s="6"/>
      <c r="D89" s="6"/>
      <c r="E89" s="6"/>
      <c r="F89" s="6"/>
      <c r="G89" s="6"/>
      <c r="H89" s="8"/>
      <c r="I89" s="6"/>
      <c r="J89" s="68"/>
      <c r="L89" s="86"/>
    </row>
    <row r="90" spans="1:12" x14ac:dyDescent="0.25">
      <c r="A90" s="6"/>
      <c r="B90" s="6"/>
      <c r="C90" s="6"/>
      <c r="D90" s="6"/>
      <c r="E90" s="6"/>
      <c r="F90" s="6"/>
      <c r="G90" s="6"/>
      <c r="H90" s="8"/>
      <c r="I90" s="6"/>
      <c r="J90" s="68"/>
      <c r="L90" s="86"/>
    </row>
    <row r="91" spans="1:12" x14ac:dyDescent="0.25">
      <c r="A91" s="6"/>
      <c r="B91" s="6"/>
      <c r="C91" s="6"/>
      <c r="D91" s="6"/>
      <c r="E91" s="6"/>
      <c r="F91" s="6"/>
      <c r="G91" s="6"/>
      <c r="H91" s="8"/>
      <c r="I91" s="6"/>
      <c r="J91" s="68"/>
      <c r="L91" s="86"/>
    </row>
    <row r="92" spans="1:12" x14ac:dyDescent="0.25">
      <c r="A92" s="6"/>
      <c r="B92" s="6"/>
      <c r="C92" s="6"/>
      <c r="D92" s="6"/>
      <c r="E92" s="6"/>
      <c r="F92" s="6"/>
      <c r="G92" s="6"/>
      <c r="H92" s="8"/>
      <c r="I92" s="6"/>
      <c r="J92" s="68"/>
      <c r="L92" s="86"/>
    </row>
    <row r="93" spans="1:12" x14ac:dyDescent="0.25">
      <c r="A93" s="6"/>
      <c r="B93" s="6"/>
      <c r="C93" s="6"/>
      <c r="D93" s="6"/>
      <c r="E93" s="6"/>
      <c r="F93" s="6"/>
      <c r="G93" s="6"/>
      <c r="H93" s="8"/>
      <c r="I93" s="6"/>
      <c r="J93" s="68"/>
      <c r="L93" s="86"/>
    </row>
    <row r="94" spans="1:12" x14ac:dyDescent="0.25">
      <c r="A94" s="6"/>
      <c r="B94" s="6"/>
      <c r="C94" s="6"/>
      <c r="D94" s="6"/>
      <c r="E94" s="6"/>
      <c r="F94" s="6"/>
      <c r="G94" s="6"/>
      <c r="H94" s="8"/>
      <c r="I94" s="6"/>
      <c r="J94" s="68"/>
      <c r="L94" s="86"/>
    </row>
    <row r="95" spans="1:12" x14ac:dyDescent="0.25">
      <c r="A95" s="6"/>
      <c r="B95" s="6"/>
      <c r="C95" s="6"/>
      <c r="D95" s="6"/>
      <c r="E95" s="6"/>
      <c r="F95" s="6"/>
      <c r="G95" s="6"/>
      <c r="H95" s="8"/>
      <c r="I95" s="6"/>
      <c r="J95" s="68"/>
      <c r="L95" s="86"/>
    </row>
    <row r="96" spans="1:12" x14ac:dyDescent="0.25">
      <c r="A96" s="6"/>
      <c r="B96" s="6"/>
      <c r="C96" s="6"/>
      <c r="D96" s="6"/>
      <c r="E96" s="6"/>
      <c r="F96" s="6"/>
      <c r="G96" s="6"/>
      <c r="H96" s="8"/>
      <c r="I96" s="6"/>
      <c r="J96" s="68"/>
      <c r="L96" s="86"/>
    </row>
    <row r="97" spans="1:12" x14ac:dyDescent="0.25">
      <c r="A97" s="6"/>
      <c r="B97" s="6"/>
      <c r="C97" s="6"/>
      <c r="D97" s="6"/>
      <c r="E97" s="6"/>
      <c r="F97" s="6"/>
      <c r="G97" s="6"/>
      <c r="H97" s="8"/>
      <c r="I97" s="6"/>
      <c r="J97" s="68"/>
      <c r="L97" s="86"/>
    </row>
    <row r="98" spans="1:12" x14ac:dyDescent="0.25">
      <c r="A98" s="6"/>
      <c r="B98" s="6"/>
      <c r="C98" s="6"/>
      <c r="D98" s="6"/>
      <c r="E98" s="6"/>
      <c r="F98" s="6"/>
      <c r="G98" s="6"/>
      <c r="H98" s="8"/>
      <c r="I98" s="6"/>
      <c r="J98" s="68"/>
      <c r="L98" s="86"/>
    </row>
    <row r="99" spans="1:12" x14ac:dyDescent="0.25">
      <c r="A99" s="6"/>
      <c r="B99" s="6"/>
      <c r="C99" s="6"/>
      <c r="D99" s="6"/>
      <c r="E99" s="6"/>
      <c r="F99" s="6"/>
      <c r="G99" s="6"/>
      <c r="H99" s="8"/>
      <c r="I99" s="6"/>
      <c r="J99" s="68"/>
      <c r="L99" s="86"/>
    </row>
    <row r="100" spans="1:12" x14ac:dyDescent="0.25">
      <c r="A100" s="6"/>
      <c r="B100" s="6"/>
      <c r="C100" s="6"/>
      <c r="D100" s="6"/>
      <c r="E100" s="6"/>
      <c r="F100" s="6"/>
      <c r="G100" s="6"/>
      <c r="H100" s="8"/>
      <c r="I100" s="6"/>
      <c r="J100" s="68"/>
      <c r="L100" s="86"/>
    </row>
    <row r="101" spans="1:12" x14ac:dyDescent="0.25">
      <c r="A101" s="6"/>
      <c r="B101" s="6"/>
      <c r="C101" s="6"/>
      <c r="D101" s="6"/>
      <c r="E101" s="6"/>
      <c r="F101" s="6"/>
      <c r="G101" s="6"/>
      <c r="H101" s="8"/>
      <c r="I101" s="6"/>
      <c r="J101" s="68"/>
      <c r="L101" s="86"/>
    </row>
    <row r="102" spans="1:12" x14ac:dyDescent="0.25">
      <c r="A102" s="6"/>
      <c r="B102" s="6"/>
      <c r="C102" s="6"/>
      <c r="D102" s="6"/>
      <c r="E102" s="6"/>
      <c r="F102" s="6"/>
      <c r="G102" s="6"/>
      <c r="H102" s="8"/>
      <c r="I102" s="6"/>
      <c r="J102" s="68"/>
      <c r="L102" s="86"/>
    </row>
    <row r="103" spans="1:12" x14ac:dyDescent="0.25">
      <c r="A103" s="6"/>
      <c r="B103" s="6"/>
      <c r="C103" s="6"/>
      <c r="D103" s="6"/>
      <c r="E103" s="6"/>
      <c r="F103" s="6"/>
      <c r="G103" s="6"/>
      <c r="H103" s="8"/>
      <c r="I103" s="6"/>
      <c r="J103" s="68"/>
      <c r="L103" s="86"/>
    </row>
    <row r="104" spans="1:12" x14ac:dyDescent="0.25">
      <c r="A104" s="6"/>
      <c r="B104" s="6"/>
      <c r="C104" s="6"/>
      <c r="D104" s="6"/>
      <c r="E104" s="6"/>
      <c r="F104" s="6"/>
      <c r="G104" s="6"/>
      <c r="H104" s="8"/>
      <c r="I104" s="6"/>
      <c r="J104" s="68"/>
      <c r="L104" s="86"/>
    </row>
    <row r="105" spans="1:12" x14ac:dyDescent="0.25">
      <c r="A105" s="6"/>
      <c r="B105" s="6"/>
      <c r="C105" s="6"/>
      <c r="D105" s="6"/>
      <c r="E105" s="6"/>
      <c r="F105" s="6"/>
      <c r="G105" s="6"/>
      <c r="H105" s="8"/>
      <c r="I105" s="6"/>
      <c r="J105" s="68"/>
      <c r="L105" s="86"/>
    </row>
    <row r="106" spans="1:12" x14ac:dyDescent="0.25">
      <c r="A106" s="6"/>
      <c r="B106" s="6"/>
      <c r="C106" s="6"/>
      <c r="D106" s="6"/>
      <c r="E106" s="6"/>
      <c r="F106" s="6"/>
      <c r="G106" s="6"/>
      <c r="H106" s="8"/>
      <c r="I106" s="6"/>
      <c r="J106" s="68"/>
      <c r="L106" s="86"/>
    </row>
    <row r="107" spans="1:12" x14ac:dyDescent="0.25">
      <c r="A107" s="6"/>
      <c r="B107" s="6"/>
      <c r="C107" s="6"/>
      <c r="D107" s="6"/>
      <c r="E107" s="6"/>
      <c r="F107" s="6"/>
      <c r="G107" s="6"/>
      <c r="H107" s="8"/>
      <c r="I107" s="6"/>
      <c r="J107" s="68"/>
      <c r="L107" s="86"/>
    </row>
    <row r="108" spans="1:12" x14ac:dyDescent="0.25">
      <c r="A108" s="6"/>
      <c r="B108" s="6"/>
      <c r="C108" s="6"/>
      <c r="D108" s="6"/>
      <c r="E108" s="6"/>
      <c r="F108" s="6"/>
      <c r="G108" s="6"/>
      <c r="H108" s="8"/>
      <c r="I108" s="6"/>
      <c r="J108" s="68"/>
      <c r="L108" s="86"/>
    </row>
    <row r="109" spans="1:12" x14ac:dyDescent="0.25">
      <c r="A109" s="6"/>
      <c r="B109" s="6"/>
      <c r="C109" s="6"/>
      <c r="D109" s="6"/>
      <c r="E109" s="6"/>
      <c r="F109" s="6"/>
      <c r="G109" s="6"/>
      <c r="H109" s="8"/>
      <c r="I109" s="6"/>
      <c r="J109" s="68"/>
      <c r="L109" s="86"/>
    </row>
    <row r="110" spans="1:12" x14ac:dyDescent="0.25">
      <c r="A110" s="6"/>
      <c r="B110" s="6"/>
      <c r="C110" s="6"/>
      <c r="D110" s="6"/>
      <c r="E110" s="6"/>
      <c r="F110" s="6"/>
      <c r="G110" s="6"/>
      <c r="H110" s="8"/>
      <c r="I110" s="6"/>
      <c r="J110" s="68"/>
      <c r="L110" s="86"/>
    </row>
    <row r="111" spans="1:12" x14ac:dyDescent="0.25">
      <c r="A111" s="6"/>
      <c r="B111" s="6"/>
      <c r="C111" s="6"/>
      <c r="D111" s="6"/>
      <c r="E111" s="6"/>
      <c r="F111" s="6"/>
      <c r="G111" s="6"/>
      <c r="H111" s="8"/>
      <c r="I111" s="6"/>
      <c r="J111" s="68"/>
    </row>
    <row r="112" spans="1:12" x14ac:dyDescent="0.25">
      <c r="A112" s="6"/>
      <c r="B112" s="6"/>
      <c r="C112" s="6"/>
      <c r="D112" s="6"/>
      <c r="E112" s="6"/>
      <c r="F112" s="6"/>
      <c r="G112" s="6"/>
      <c r="H112" s="8"/>
      <c r="I112" s="6"/>
      <c r="J112" s="68"/>
    </row>
    <row r="113" spans="1:11" x14ac:dyDescent="0.25">
      <c r="A113" s="6"/>
      <c r="B113" s="6"/>
      <c r="C113" s="6"/>
      <c r="D113" s="6"/>
      <c r="E113" s="6"/>
      <c r="F113" s="6"/>
      <c r="G113" s="6"/>
      <c r="H113" s="8"/>
      <c r="I113" s="6"/>
      <c r="J113" s="68"/>
    </row>
    <row r="114" spans="1:11" x14ac:dyDescent="0.25">
      <c r="A114" s="6"/>
      <c r="B114" s="6"/>
      <c r="C114" s="6"/>
      <c r="D114" s="6"/>
      <c r="E114" s="6"/>
      <c r="F114" s="6"/>
      <c r="G114" s="6"/>
      <c r="H114" s="8"/>
      <c r="I114" s="6"/>
      <c r="J114" s="68"/>
    </row>
    <row r="115" spans="1:11" x14ac:dyDescent="0.25">
      <c r="A115" s="6"/>
      <c r="B115" s="6"/>
      <c r="C115" s="6"/>
      <c r="D115" s="6"/>
      <c r="E115" s="6"/>
      <c r="F115" s="6"/>
      <c r="G115" s="6"/>
      <c r="H115" s="8"/>
      <c r="I115" s="6"/>
      <c r="J115" s="68"/>
    </row>
    <row r="116" spans="1:11" x14ac:dyDescent="0.25">
      <c r="A116" s="6"/>
      <c r="B116" s="6"/>
      <c r="C116" s="6"/>
      <c r="D116" s="6"/>
      <c r="E116" s="6"/>
      <c r="F116" s="6"/>
      <c r="G116" s="6"/>
      <c r="H116" s="8"/>
      <c r="I116" s="6"/>
      <c r="J116" s="68"/>
    </row>
    <row r="117" spans="1:11" x14ac:dyDescent="0.25">
      <c r="A117" s="6"/>
      <c r="B117" s="6"/>
      <c r="C117" s="6"/>
      <c r="D117" s="6"/>
      <c r="E117" s="6"/>
      <c r="F117" s="6"/>
      <c r="G117" s="6"/>
      <c r="H117" s="8"/>
      <c r="I117" s="6"/>
      <c r="J117" s="68"/>
      <c r="K117" s="84"/>
    </row>
    <row r="118" spans="1:11" x14ac:dyDescent="0.25">
      <c r="A118" s="6"/>
      <c r="B118" s="6"/>
      <c r="C118" s="6"/>
      <c r="D118" s="6"/>
      <c r="E118" s="6"/>
      <c r="F118" s="6"/>
      <c r="G118" s="6"/>
      <c r="H118" s="8"/>
      <c r="I118" s="6"/>
      <c r="J118" s="68"/>
      <c r="K118" s="84"/>
    </row>
    <row r="119" spans="1:11" x14ac:dyDescent="0.25">
      <c r="A119" s="6"/>
      <c r="B119" s="6"/>
      <c r="C119" s="6"/>
      <c r="D119" s="6"/>
      <c r="E119" s="6"/>
      <c r="F119" s="6"/>
      <c r="G119" s="6"/>
      <c r="H119" s="8"/>
      <c r="I119" s="6"/>
      <c r="J119" s="68"/>
      <c r="K119" s="84"/>
    </row>
    <row r="120" spans="1:11" x14ac:dyDescent="0.25">
      <c r="A120" s="6"/>
      <c r="B120" s="6"/>
      <c r="C120" s="6"/>
      <c r="D120" s="6"/>
      <c r="E120" s="6"/>
      <c r="F120" s="6"/>
      <c r="G120" s="6"/>
      <c r="H120" s="8"/>
      <c r="I120" s="6"/>
      <c r="J120" s="68"/>
    </row>
    <row r="121" spans="1:11" x14ac:dyDescent="0.25">
      <c r="A121" s="6"/>
      <c r="B121" s="6"/>
      <c r="C121" s="6"/>
      <c r="D121" s="6"/>
      <c r="E121" s="6"/>
      <c r="F121" s="6"/>
      <c r="G121" s="6"/>
      <c r="H121" s="8"/>
      <c r="I121" s="6"/>
      <c r="J121" s="68"/>
    </row>
    <row r="122" spans="1:11" x14ac:dyDescent="0.25">
      <c r="A122" s="6"/>
      <c r="B122" s="6"/>
      <c r="C122" s="6"/>
      <c r="D122" s="6"/>
      <c r="E122" s="6"/>
      <c r="F122" s="6"/>
      <c r="G122" s="6"/>
      <c r="H122" s="8"/>
      <c r="I122" s="6"/>
      <c r="J122" s="68"/>
    </row>
    <row r="123" spans="1:11" x14ac:dyDescent="0.25">
      <c r="A123" s="6"/>
      <c r="B123" s="6"/>
      <c r="C123" s="6"/>
      <c r="D123" s="6"/>
      <c r="E123" s="6"/>
      <c r="F123" s="6"/>
      <c r="G123" s="6"/>
      <c r="H123" s="8"/>
      <c r="I123" s="6"/>
      <c r="J123" s="68"/>
    </row>
    <row r="124" spans="1:11" x14ac:dyDescent="0.25">
      <c r="A124" s="6"/>
      <c r="B124" s="6"/>
      <c r="C124" s="6"/>
      <c r="D124" s="6"/>
      <c r="E124" s="6"/>
      <c r="F124" s="6"/>
      <c r="G124" s="6"/>
      <c r="H124" s="8"/>
      <c r="I124" s="6"/>
      <c r="J124" s="68"/>
    </row>
    <row r="125" spans="1:11" x14ac:dyDescent="0.25">
      <c r="A125" s="6"/>
      <c r="B125" s="6"/>
      <c r="C125" s="6"/>
      <c r="D125" s="6"/>
      <c r="E125" s="6"/>
      <c r="F125" s="6"/>
      <c r="G125" s="6"/>
      <c r="H125" s="8"/>
      <c r="I125" s="6"/>
      <c r="J125" s="68"/>
    </row>
    <row r="126" spans="1:11" x14ac:dyDescent="0.25">
      <c r="A126" s="6"/>
      <c r="B126" s="6"/>
      <c r="C126" s="6"/>
      <c r="D126" s="6"/>
      <c r="E126" s="6"/>
      <c r="F126" s="6"/>
      <c r="G126" s="6"/>
      <c r="H126" s="8"/>
      <c r="I126" s="6"/>
      <c r="J126" s="68"/>
    </row>
    <row r="127" spans="1:11" x14ac:dyDescent="0.25">
      <c r="A127" s="6"/>
      <c r="B127" s="6"/>
      <c r="C127" s="6"/>
      <c r="D127" s="6"/>
      <c r="E127" s="6"/>
      <c r="F127" s="6"/>
      <c r="G127" s="6"/>
      <c r="H127" s="8"/>
      <c r="I127" s="6"/>
      <c r="J127" s="68"/>
    </row>
    <row r="128" spans="1:11" x14ac:dyDescent="0.25">
      <c r="A128" s="6"/>
      <c r="B128" s="6"/>
      <c r="C128" s="6"/>
      <c r="D128" s="6"/>
      <c r="E128" s="6"/>
      <c r="F128" s="6"/>
      <c r="G128" s="6"/>
      <c r="H128" s="8"/>
      <c r="I128" s="6"/>
      <c r="J128" s="68"/>
    </row>
    <row r="129" spans="1:10" x14ac:dyDescent="0.25">
      <c r="A129" s="6"/>
      <c r="B129" s="6"/>
      <c r="C129" s="6"/>
      <c r="D129" s="6"/>
      <c r="E129" s="6"/>
      <c r="F129" s="6"/>
      <c r="G129" s="6"/>
      <c r="H129" s="8"/>
      <c r="I129" s="6"/>
      <c r="J129" s="68"/>
    </row>
    <row r="130" spans="1:10" x14ac:dyDescent="0.25">
      <c r="A130" s="6"/>
      <c r="B130" s="6"/>
      <c r="C130" s="6"/>
      <c r="D130" s="6"/>
      <c r="E130" s="6"/>
      <c r="F130" s="6"/>
      <c r="G130" s="6"/>
      <c r="H130" s="8"/>
      <c r="I130" s="6"/>
      <c r="J130" s="68"/>
    </row>
    <row r="131" spans="1:10" x14ac:dyDescent="0.25">
      <c r="A131" s="6"/>
      <c r="B131" s="6"/>
      <c r="C131" s="6"/>
      <c r="D131" s="6"/>
      <c r="E131" s="6"/>
      <c r="F131" s="6"/>
      <c r="G131" s="6"/>
      <c r="H131" s="8"/>
      <c r="I131" s="6"/>
      <c r="J131" s="68"/>
    </row>
    <row r="132" spans="1:10" x14ac:dyDescent="0.25">
      <c r="A132" s="6"/>
      <c r="B132" s="6"/>
      <c r="C132" s="6"/>
      <c r="D132" s="6"/>
      <c r="E132" s="6"/>
      <c r="F132" s="6"/>
      <c r="G132" s="6"/>
      <c r="H132" s="8"/>
      <c r="I132" s="6"/>
      <c r="J132" s="68"/>
    </row>
    <row r="133" spans="1:10" x14ac:dyDescent="0.25">
      <c r="A133" s="6"/>
      <c r="B133" s="6"/>
      <c r="C133" s="6"/>
      <c r="D133" s="6"/>
      <c r="E133" s="6"/>
      <c r="F133" s="6"/>
      <c r="G133" s="6"/>
      <c r="H133" s="8"/>
      <c r="I133" s="6"/>
      <c r="J133" s="68"/>
    </row>
    <row r="134" spans="1:10" x14ac:dyDescent="0.25">
      <c r="A134" s="6"/>
      <c r="B134" s="6"/>
      <c r="C134" s="6"/>
      <c r="D134" s="6"/>
      <c r="E134" s="6"/>
      <c r="F134" s="6"/>
      <c r="G134" s="6"/>
      <c r="H134" s="6"/>
    </row>
    <row r="135" spans="1:10" x14ac:dyDescent="0.25">
      <c r="A135" s="6"/>
      <c r="B135" s="6"/>
      <c r="C135" s="6"/>
      <c r="D135" s="6"/>
      <c r="E135" s="6"/>
      <c r="F135" s="6"/>
      <c r="G135" s="6"/>
      <c r="H135" s="6"/>
    </row>
    <row r="136" spans="1:10" x14ac:dyDescent="0.25">
      <c r="A136" s="6"/>
      <c r="B136" s="6"/>
      <c r="C136" s="6"/>
      <c r="D136" s="6"/>
      <c r="E136" s="6"/>
      <c r="F136" s="6"/>
      <c r="G136" s="6"/>
      <c r="H136" s="6"/>
    </row>
    <row r="137" spans="1:10" x14ac:dyDescent="0.25">
      <c r="A137" s="6"/>
      <c r="B137" s="6"/>
      <c r="C137" s="6"/>
      <c r="D137" s="6"/>
      <c r="E137" s="6"/>
      <c r="F137" s="6"/>
      <c r="G137" s="6"/>
      <c r="H137" s="6"/>
    </row>
    <row r="138" spans="1:10" x14ac:dyDescent="0.25">
      <c r="A138" s="6"/>
      <c r="B138" s="6"/>
      <c r="C138" s="6"/>
      <c r="D138" s="6"/>
      <c r="E138" s="6"/>
      <c r="F138" s="6"/>
      <c r="G138" s="6"/>
      <c r="H138" s="6"/>
    </row>
    <row r="139" spans="1:10" x14ac:dyDescent="0.25">
      <c r="A139" s="6"/>
      <c r="B139" s="6"/>
      <c r="C139" s="6"/>
      <c r="D139" s="6"/>
      <c r="E139" s="6"/>
      <c r="F139" s="6"/>
      <c r="G139" s="6"/>
      <c r="H139" s="6"/>
    </row>
    <row r="140" spans="1:10" x14ac:dyDescent="0.25">
      <c r="A140" s="6"/>
      <c r="B140" s="6"/>
      <c r="C140" s="6"/>
      <c r="D140" s="6"/>
      <c r="E140" s="6"/>
      <c r="F140" s="6"/>
      <c r="G140" s="6"/>
      <c r="H140" s="6"/>
    </row>
    <row r="141" spans="1:10" x14ac:dyDescent="0.25">
      <c r="A141" s="6"/>
      <c r="B141" s="6"/>
      <c r="C141" s="6"/>
      <c r="D141" s="6"/>
      <c r="E141" s="6"/>
      <c r="F141" s="6"/>
      <c r="G141" s="6"/>
      <c r="H141" s="6"/>
    </row>
    <row r="142" spans="1:10" x14ac:dyDescent="0.25">
      <c r="A142" s="6"/>
      <c r="B142" s="6"/>
      <c r="C142" s="6"/>
      <c r="D142" s="6"/>
      <c r="E142" s="6"/>
      <c r="F142" s="6"/>
      <c r="G142" s="6"/>
      <c r="H142" s="6"/>
    </row>
    <row r="143" spans="1:10" x14ac:dyDescent="0.25">
      <c r="A143" s="6"/>
      <c r="B143" s="6"/>
      <c r="C143" s="6"/>
      <c r="D143" s="6"/>
      <c r="E143" s="6"/>
      <c r="F143" s="6"/>
      <c r="G143" s="6"/>
      <c r="H143" s="6"/>
    </row>
    <row r="144" spans="1:10" x14ac:dyDescent="0.25">
      <c r="A144" s="6"/>
      <c r="B144" s="6"/>
      <c r="C144" s="6"/>
      <c r="D144" s="6"/>
      <c r="E144" s="6"/>
      <c r="F144" s="6"/>
      <c r="G144" s="6"/>
      <c r="H144" s="6"/>
    </row>
    <row r="145" spans="1:8" x14ac:dyDescent="0.25">
      <c r="A145" s="6"/>
      <c r="B145" s="6"/>
      <c r="C145" s="6"/>
      <c r="D145" s="6"/>
      <c r="E145" s="6"/>
      <c r="F145" s="6"/>
      <c r="G145" s="6"/>
      <c r="H145" s="6"/>
    </row>
    <row r="146" spans="1:8" x14ac:dyDescent="0.25">
      <c r="A146" s="6"/>
      <c r="B146" s="6"/>
      <c r="C146" s="6"/>
      <c r="D146" s="6"/>
      <c r="E146" s="6"/>
      <c r="F146" s="6"/>
      <c r="G146" s="6"/>
      <c r="H146" s="6"/>
    </row>
    <row r="147" spans="1:8" x14ac:dyDescent="0.25">
      <c r="A147" s="6"/>
      <c r="B147" s="6"/>
      <c r="C147" s="6"/>
      <c r="D147" s="6"/>
      <c r="E147" s="6"/>
      <c r="F147" s="6"/>
      <c r="G147" s="6"/>
      <c r="H147" s="6"/>
    </row>
    <row r="148" spans="1:8" x14ac:dyDescent="0.25">
      <c r="A148" s="6"/>
      <c r="B148" s="6"/>
      <c r="C148" s="6"/>
      <c r="D148" s="6"/>
      <c r="E148" s="6"/>
      <c r="F148" s="6"/>
      <c r="G148" s="6"/>
      <c r="H148" s="6"/>
    </row>
    <row r="149" spans="1:8" x14ac:dyDescent="0.25">
      <c r="A149" s="6"/>
      <c r="B149" s="6"/>
      <c r="C149" s="6"/>
      <c r="D149" s="6"/>
      <c r="E149" s="6"/>
      <c r="F149" s="6"/>
      <c r="G149" s="6"/>
      <c r="H149" s="6"/>
    </row>
    <row r="150" spans="1:8" x14ac:dyDescent="0.25">
      <c r="A150" s="6"/>
      <c r="B150" s="6"/>
      <c r="C150" s="6"/>
      <c r="D150" s="6"/>
      <c r="E150" s="6"/>
      <c r="F150" s="6"/>
      <c r="G150" s="6"/>
      <c r="H150" s="6"/>
    </row>
    <row r="151" spans="1:8" x14ac:dyDescent="0.25">
      <c r="A151" s="6"/>
      <c r="B151" s="6"/>
      <c r="C151" s="6"/>
      <c r="D151" s="6"/>
      <c r="E151" s="6"/>
      <c r="F151" s="6"/>
      <c r="G151" s="6"/>
      <c r="H151" s="6"/>
    </row>
    <row r="152" spans="1:8" x14ac:dyDescent="0.25">
      <c r="A152" s="6"/>
      <c r="B152" s="6"/>
      <c r="C152" s="6"/>
      <c r="D152" s="6"/>
      <c r="E152" s="6"/>
      <c r="F152" s="6"/>
      <c r="G152" s="6"/>
      <c r="H152" s="6"/>
    </row>
    <row r="153" spans="1:8" x14ac:dyDescent="0.25">
      <c r="A153" s="6"/>
      <c r="B153" s="6"/>
      <c r="C153" s="6"/>
      <c r="D153" s="6"/>
      <c r="E153" s="6"/>
      <c r="F153" s="6"/>
      <c r="G153" s="6"/>
      <c r="H153" s="6"/>
    </row>
    <row r="154" spans="1:8" x14ac:dyDescent="0.25">
      <c r="A154" s="6"/>
      <c r="B154" s="6"/>
      <c r="C154" s="6"/>
      <c r="D154" s="6"/>
      <c r="E154" s="6"/>
      <c r="F154" s="6"/>
      <c r="G154" s="6"/>
      <c r="H154" s="6"/>
    </row>
    <row r="155" spans="1:8" x14ac:dyDescent="0.25">
      <c r="A155" s="6"/>
      <c r="B155" s="6"/>
      <c r="C155" s="6"/>
      <c r="D155" s="6"/>
      <c r="E155" s="6"/>
      <c r="F155" s="6"/>
      <c r="G155" s="6"/>
      <c r="H155" s="6"/>
    </row>
    <row r="156" spans="1:8" x14ac:dyDescent="0.25">
      <c r="A156" s="6"/>
      <c r="B156" s="6"/>
      <c r="C156" s="6"/>
      <c r="D156" s="6"/>
      <c r="E156" s="6"/>
      <c r="F156" s="6"/>
      <c r="G156" s="6"/>
      <c r="H156" s="6"/>
    </row>
    <row r="157" spans="1:8" x14ac:dyDescent="0.25">
      <c r="A157" s="6"/>
      <c r="B157" s="6"/>
      <c r="C157" s="6"/>
      <c r="D157" s="6"/>
      <c r="E157" s="6"/>
      <c r="F157" s="6"/>
      <c r="G157" s="6"/>
      <c r="H157" s="6"/>
    </row>
    <row r="158" spans="1:8" x14ac:dyDescent="0.25">
      <c r="A158" s="6"/>
      <c r="B158" s="6"/>
      <c r="C158" s="6"/>
      <c r="D158" s="6"/>
      <c r="E158" s="6"/>
      <c r="F158" s="6"/>
      <c r="G158" s="6"/>
      <c r="H158" s="6"/>
    </row>
    <row r="159" spans="1:8" x14ac:dyDescent="0.25">
      <c r="A159" s="6"/>
      <c r="B159" s="6"/>
      <c r="C159" s="6"/>
      <c r="D159" s="6"/>
      <c r="E159" s="6"/>
      <c r="F159" s="6"/>
      <c r="G159" s="6"/>
      <c r="H159" s="6"/>
    </row>
    <row r="160" spans="1:8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6"/>
      <c r="B161" s="6"/>
      <c r="C161" s="6"/>
      <c r="D161" s="6"/>
      <c r="E161" s="6"/>
      <c r="F161" s="6"/>
      <c r="G161" s="6"/>
      <c r="H161" s="6"/>
    </row>
    <row r="162" spans="1:8" x14ac:dyDescent="0.25">
      <c r="A162" s="6"/>
      <c r="B162" s="6"/>
      <c r="C162" s="6"/>
      <c r="D162" s="6"/>
      <c r="E162" s="6"/>
      <c r="F162" s="6"/>
      <c r="G162" s="6"/>
      <c r="H162" s="6"/>
    </row>
    <row r="163" spans="1:8" x14ac:dyDescent="0.25">
      <c r="A163" s="6"/>
      <c r="B163" s="6"/>
      <c r="C163" s="6"/>
      <c r="D163" s="6"/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6"/>
      <c r="B165" s="6"/>
      <c r="C165" s="6"/>
      <c r="D165" s="6"/>
      <c r="E165" s="6"/>
      <c r="F165" s="6"/>
      <c r="G165" s="6"/>
      <c r="H165" s="6"/>
    </row>
    <row r="166" spans="1:8" x14ac:dyDescent="0.25">
      <c r="A166" s="6"/>
      <c r="B166" s="6"/>
      <c r="C166" s="6"/>
      <c r="D166" s="6"/>
      <c r="E166" s="6"/>
      <c r="F166" s="6"/>
      <c r="G166" s="6"/>
      <c r="H166" s="6"/>
    </row>
    <row r="167" spans="1:8" x14ac:dyDescent="0.25">
      <c r="A167" s="6"/>
      <c r="B167" s="6"/>
      <c r="C167" s="6"/>
      <c r="D167" s="6"/>
      <c r="E167" s="6"/>
      <c r="F167" s="6"/>
      <c r="G167" s="6"/>
      <c r="H167" s="6"/>
    </row>
    <row r="168" spans="1:8" x14ac:dyDescent="0.25">
      <c r="A168" s="6"/>
      <c r="B168" s="6"/>
      <c r="C168" s="6"/>
      <c r="D168" s="6"/>
      <c r="E168" s="6"/>
      <c r="F168" s="6"/>
      <c r="G168" s="6"/>
      <c r="H168" s="6"/>
    </row>
    <row r="169" spans="1:8" x14ac:dyDescent="0.25">
      <c r="A169" s="6"/>
      <c r="B169" s="6"/>
      <c r="C169" s="6"/>
      <c r="D169" s="6"/>
      <c r="E169" s="6"/>
      <c r="F169" s="6"/>
      <c r="G169" s="6"/>
      <c r="H169" s="6"/>
    </row>
    <row r="170" spans="1:8" x14ac:dyDescent="0.25">
      <c r="A170" s="6"/>
      <c r="B170" s="6"/>
      <c r="C170" s="6"/>
      <c r="D170" s="6"/>
      <c r="E170" s="6"/>
      <c r="F170" s="6"/>
      <c r="G170" s="6"/>
      <c r="H170" s="6"/>
    </row>
    <row r="171" spans="1:8" x14ac:dyDescent="0.25">
      <c r="A171" s="6"/>
      <c r="B171" s="6"/>
      <c r="C171" s="6"/>
      <c r="D171" s="6"/>
      <c r="E171" s="6"/>
      <c r="F171" s="6"/>
      <c r="G171" s="6"/>
      <c r="H171" s="6"/>
    </row>
    <row r="172" spans="1:8" x14ac:dyDescent="0.25">
      <c r="A172" s="6"/>
      <c r="B172" s="6"/>
      <c r="C172" s="6"/>
      <c r="D172" s="6"/>
      <c r="E172" s="6"/>
      <c r="F172" s="6"/>
      <c r="G172" s="6"/>
      <c r="H172" s="6"/>
    </row>
    <row r="173" spans="1:8" x14ac:dyDescent="0.25">
      <c r="A173" s="6"/>
      <c r="B173" s="6"/>
      <c r="C173" s="6"/>
      <c r="D173" s="6"/>
      <c r="E173" s="6"/>
      <c r="F173" s="6"/>
      <c r="G173" s="6"/>
      <c r="H173" s="6"/>
    </row>
    <row r="174" spans="1:8" x14ac:dyDescent="0.25">
      <c r="A174" s="6"/>
      <c r="B174" s="6"/>
      <c r="C174" s="6"/>
      <c r="D174" s="6"/>
      <c r="E174" s="6"/>
      <c r="F174" s="6"/>
      <c r="G174" s="6"/>
      <c r="H174" s="6"/>
    </row>
    <row r="175" spans="1:8" x14ac:dyDescent="0.25">
      <c r="A175" s="6"/>
      <c r="B175" s="6"/>
      <c r="C175" s="6"/>
      <c r="D175" s="6"/>
      <c r="E175" s="6"/>
      <c r="F175" s="6"/>
      <c r="G175" s="6"/>
      <c r="H175" s="6"/>
    </row>
    <row r="176" spans="1:8" x14ac:dyDescent="0.25">
      <c r="A176" s="6"/>
      <c r="B176" s="6"/>
      <c r="C176" s="6"/>
      <c r="D176" s="6"/>
      <c r="E176" s="6"/>
      <c r="F176" s="6"/>
      <c r="G176" s="6"/>
      <c r="H176" s="6"/>
    </row>
    <row r="177" spans="1:8" x14ac:dyDescent="0.25">
      <c r="A177" s="6"/>
      <c r="B177" s="6"/>
      <c r="C177" s="6"/>
      <c r="D177" s="6"/>
      <c r="E177" s="6"/>
      <c r="F177" s="6"/>
      <c r="G177" s="6"/>
      <c r="H177" s="6"/>
    </row>
    <row r="178" spans="1:8" x14ac:dyDescent="0.25">
      <c r="A178" s="6"/>
      <c r="B178" s="6"/>
      <c r="C178" s="6"/>
      <c r="D178" s="6"/>
      <c r="E178" s="6"/>
      <c r="F178" s="6"/>
      <c r="G178" s="6"/>
      <c r="H178" s="6"/>
    </row>
    <row r="179" spans="1:8" x14ac:dyDescent="0.25">
      <c r="A179" s="6"/>
      <c r="B179" s="6"/>
      <c r="C179" s="6"/>
      <c r="D179" s="6"/>
      <c r="E179" s="6"/>
      <c r="F179" s="6"/>
      <c r="G179" s="6"/>
      <c r="H179" s="6"/>
    </row>
    <row r="180" spans="1:8" x14ac:dyDescent="0.25">
      <c r="A180" s="6"/>
      <c r="B180" s="6"/>
      <c r="C180" s="6"/>
      <c r="D180" s="6"/>
      <c r="E180" s="6"/>
      <c r="F180" s="6"/>
      <c r="G180" s="6"/>
      <c r="H180" s="6"/>
    </row>
    <row r="181" spans="1:8" x14ac:dyDescent="0.25">
      <c r="A181" s="6"/>
      <c r="B181" s="6"/>
      <c r="C181" s="6"/>
      <c r="D181" s="6"/>
      <c r="E181" s="6"/>
      <c r="F181" s="6"/>
      <c r="G181" s="6"/>
      <c r="H181" s="6"/>
    </row>
    <row r="182" spans="1:8" x14ac:dyDescent="0.25">
      <c r="A182" s="6"/>
      <c r="B182" s="6"/>
      <c r="C182" s="6"/>
      <c r="D182" s="6"/>
      <c r="E182" s="6"/>
      <c r="F182" s="6"/>
      <c r="G182" s="6"/>
      <c r="H182" s="6"/>
    </row>
    <row r="183" spans="1:8" x14ac:dyDescent="0.25">
      <c r="A183" s="6"/>
      <c r="B183" s="6"/>
      <c r="C183" s="6"/>
      <c r="D183" s="6"/>
      <c r="E183" s="6"/>
      <c r="F183" s="6"/>
      <c r="G183" s="6"/>
      <c r="H183" s="6"/>
    </row>
    <row r="184" spans="1:8" x14ac:dyDescent="0.25">
      <c r="A184" s="6"/>
      <c r="B184" s="6"/>
      <c r="C184" s="6"/>
      <c r="D184" s="6"/>
      <c r="E184" s="6"/>
      <c r="F184" s="6"/>
      <c r="G184" s="6"/>
      <c r="H184" s="6"/>
    </row>
    <row r="185" spans="1:8" x14ac:dyDescent="0.25">
      <c r="A185" s="6"/>
      <c r="B185" s="6"/>
      <c r="C185" s="6"/>
      <c r="D185" s="6"/>
      <c r="E185" s="6"/>
      <c r="F185" s="6"/>
      <c r="G185" s="6"/>
      <c r="H185" s="6"/>
    </row>
    <row r="186" spans="1:8" x14ac:dyDescent="0.25">
      <c r="A186" s="6"/>
      <c r="B186" s="6"/>
      <c r="C186" s="6"/>
      <c r="D186" s="6"/>
      <c r="E186" s="6"/>
      <c r="F186" s="6"/>
      <c r="G186" s="6"/>
      <c r="H186" s="6"/>
    </row>
    <row r="187" spans="1:8" x14ac:dyDescent="0.25">
      <c r="A187" s="6"/>
      <c r="B187" s="6"/>
      <c r="C187" s="6"/>
      <c r="D187" s="6"/>
      <c r="E187" s="6"/>
      <c r="F187" s="6"/>
      <c r="G187" s="6"/>
      <c r="H187" s="6"/>
    </row>
    <row r="188" spans="1:8" x14ac:dyDescent="0.25">
      <c r="A188" s="6"/>
      <c r="B188" s="6"/>
      <c r="C188" s="6"/>
      <c r="D188" s="6"/>
      <c r="E188" s="6"/>
      <c r="F188" s="6"/>
      <c r="G188" s="6"/>
      <c r="H188" s="6"/>
    </row>
    <row r="189" spans="1:8" x14ac:dyDescent="0.25">
      <c r="A189" s="6"/>
      <c r="B189" s="6"/>
      <c r="C189" s="6"/>
      <c r="D189" s="6"/>
      <c r="E189" s="6"/>
      <c r="F189" s="6"/>
      <c r="G189" s="6"/>
      <c r="H189" s="6"/>
    </row>
    <row r="190" spans="1:8" x14ac:dyDescent="0.25">
      <c r="A190" s="6"/>
      <c r="B190" s="6"/>
      <c r="C190" s="6"/>
      <c r="D190" s="6"/>
      <c r="E190" s="6"/>
      <c r="F190" s="6"/>
      <c r="G190" s="6"/>
      <c r="H190" s="6"/>
    </row>
    <row r="191" spans="1:8" x14ac:dyDescent="0.25">
      <c r="A191" s="6"/>
      <c r="B191" s="6"/>
      <c r="C191" s="6"/>
      <c r="D191" s="6"/>
      <c r="E191" s="6"/>
      <c r="F191" s="6"/>
      <c r="G191" s="6"/>
      <c r="H191" s="6"/>
    </row>
    <row r="192" spans="1:8" x14ac:dyDescent="0.25">
      <c r="A192" s="6"/>
      <c r="B192" s="6"/>
      <c r="C192" s="6"/>
      <c r="D192" s="6"/>
      <c r="E192" s="6"/>
      <c r="F192" s="6"/>
      <c r="G192" s="6"/>
      <c r="H192" s="6"/>
    </row>
    <row r="193" spans="1:8" x14ac:dyDescent="0.25">
      <c r="A193" s="6"/>
      <c r="B193" s="6"/>
      <c r="C193" s="6"/>
      <c r="D193" s="6"/>
      <c r="E193" s="6"/>
      <c r="F193" s="6"/>
      <c r="G193" s="6"/>
      <c r="H193" s="6"/>
    </row>
    <row r="194" spans="1:8" x14ac:dyDescent="0.25">
      <c r="A194" s="6"/>
      <c r="B194" s="6"/>
      <c r="C194" s="6"/>
      <c r="D194" s="6"/>
      <c r="E194" s="6"/>
      <c r="F194" s="6"/>
      <c r="G194" s="6"/>
      <c r="H194" s="6"/>
    </row>
    <row r="195" spans="1:8" x14ac:dyDescent="0.25">
      <c r="A195" s="6"/>
      <c r="B195" s="6"/>
      <c r="C195" s="6"/>
      <c r="D195" s="6"/>
      <c r="E195" s="6"/>
      <c r="F195" s="6"/>
      <c r="G195" s="6"/>
      <c r="H195" s="6"/>
    </row>
    <row r="196" spans="1:8" x14ac:dyDescent="0.25">
      <c r="A196" s="6"/>
      <c r="B196" s="6"/>
      <c r="C196" s="6"/>
      <c r="D196" s="6"/>
      <c r="E196" s="6"/>
      <c r="F196" s="6"/>
      <c r="G196" s="6"/>
      <c r="H196" s="6"/>
    </row>
    <row r="197" spans="1:8" x14ac:dyDescent="0.25">
      <c r="A197" s="6"/>
      <c r="B197" s="6"/>
      <c r="C197" s="6"/>
      <c r="D197" s="6"/>
      <c r="E197" s="6"/>
      <c r="F197" s="6"/>
      <c r="G197" s="6"/>
      <c r="H197" s="6"/>
    </row>
    <row r="198" spans="1:8" x14ac:dyDescent="0.25">
      <c r="A198" s="6"/>
      <c r="B198" s="6"/>
      <c r="C198" s="6"/>
      <c r="D198" s="6"/>
      <c r="E198" s="6"/>
      <c r="F198" s="6"/>
      <c r="G198" s="6"/>
      <c r="H198" s="6"/>
    </row>
    <row r="199" spans="1:8" x14ac:dyDescent="0.25">
      <c r="A199" s="6"/>
      <c r="B199" s="6"/>
      <c r="C199" s="6"/>
      <c r="D199" s="6"/>
      <c r="E199" s="6"/>
      <c r="F199" s="6"/>
      <c r="G199" s="6"/>
      <c r="H199" s="6"/>
    </row>
    <row r="200" spans="1:8" x14ac:dyDescent="0.25">
      <c r="A200" s="6"/>
      <c r="B200" s="6"/>
      <c r="C200" s="6"/>
      <c r="D200" s="6"/>
      <c r="E200" s="6"/>
      <c r="F200" s="6"/>
      <c r="G200" s="6"/>
      <c r="H200" s="6"/>
    </row>
    <row r="201" spans="1:8" x14ac:dyDescent="0.25">
      <c r="A201" s="6"/>
      <c r="B201" s="6"/>
      <c r="C201" s="6"/>
      <c r="D201" s="6"/>
      <c r="E201" s="6"/>
      <c r="F201" s="6"/>
      <c r="G201" s="6"/>
      <c r="H201" s="6"/>
    </row>
    <row r="202" spans="1:8" x14ac:dyDescent="0.25">
      <c r="A202" s="6"/>
      <c r="B202" s="6"/>
      <c r="C202" s="6"/>
      <c r="D202" s="6"/>
      <c r="E202" s="6"/>
      <c r="F202" s="6"/>
      <c r="G202" s="6"/>
      <c r="H202" s="6"/>
    </row>
    <row r="203" spans="1:8" x14ac:dyDescent="0.25">
      <c r="A203" s="6"/>
      <c r="B203" s="6"/>
      <c r="C203" s="6"/>
      <c r="D203" s="6"/>
      <c r="E203" s="6"/>
      <c r="F203" s="6"/>
      <c r="G203" s="6"/>
      <c r="H203" s="6"/>
    </row>
    <row r="204" spans="1:8" x14ac:dyDescent="0.25">
      <c r="A204" s="6"/>
      <c r="B204" s="6"/>
      <c r="C204" s="6"/>
      <c r="D204" s="6"/>
      <c r="E204" s="6"/>
      <c r="F204" s="6"/>
      <c r="G204" s="6"/>
      <c r="H204" s="6"/>
    </row>
    <row r="205" spans="1:8" x14ac:dyDescent="0.25">
      <c r="A205" s="6"/>
      <c r="B205" s="6"/>
      <c r="C205" s="6"/>
      <c r="D205" s="6"/>
      <c r="E205" s="6"/>
      <c r="F205" s="6"/>
      <c r="G205" s="6"/>
      <c r="H205" s="6"/>
    </row>
    <row r="206" spans="1:8" x14ac:dyDescent="0.25">
      <c r="A206" s="6"/>
      <c r="B206" s="6"/>
      <c r="C206" s="6"/>
      <c r="D206" s="6"/>
      <c r="E206" s="6"/>
      <c r="F206" s="6"/>
      <c r="G206" s="6"/>
      <c r="H206" s="6"/>
    </row>
    <row r="207" spans="1:8" x14ac:dyDescent="0.25">
      <c r="A207" s="6"/>
      <c r="B207" s="6"/>
      <c r="C207" s="6"/>
      <c r="D207" s="6"/>
      <c r="E207" s="6"/>
      <c r="F207" s="6"/>
      <c r="G207" s="6"/>
      <c r="H207" s="6"/>
    </row>
    <row r="208" spans="1:8" x14ac:dyDescent="0.25">
      <c r="A208" s="6"/>
      <c r="B208" s="6"/>
      <c r="C208" s="6"/>
      <c r="D208" s="6"/>
      <c r="E208" s="6"/>
      <c r="F208" s="6"/>
      <c r="G208" s="6"/>
      <c r="H208" s="6"/>
    </row>
    <row r="209" spans="1:8" x14ac:dyDescent="0.25">
      <c r="A209" s="6"/>
      <c r="B209" s="6"/>
      <c r="C209" s="6"/>
      <c r="D209" s="6"/>
      <c r="E209" s="6"/>
      <c r="F209" s="6"/>
      <c r="G209" s="6"/>
      <c r="H209" s="6"/>
    </row>
    <row r="210" spans="1:8" x14ac:dyDescent="0.25">
      <c r="A210" s="6"/>
      <c r="B210" s="6"/>
      <c r="C210" s="6"/>
      <c r="D210" s="6"/>
      <c r="E210" s="6"/>
      <c r="F210" s="6"/>
      <c r="G210" s="6"/>
      <c r="H210" s="6"/>
    </row>
    <row r="211" spans="1:8" x14ac:dyDescent="0.25">
      <c r="A211" s="6"/>
      <c r="B211" s="6"/>
      <c r="C211" s="6"/>
      <c r="D211" s="6"/>
      <c r="E211" s="6"/>
      <c r="F211" s="6"/>
      <c r="G211" s="6"/>
      <c r="H211" s="6"/>
    </row>
    <row r="212" spans="1:8" x14ac:dyDescent="0.25">
      <c r="A212" s="6"/>
      <c r="B212" s="6"/>
      <c r="C212" s="6"/>
      <c r="D212" s="6"/>
      <c r="E212" s="6"/>
      <c r="F212" s="6"/>
      <c r="G212" s="6"/>
      <c r="H212" s="6"/>
    </row>
    <row r="213" spans="1:8" x14ac:dyDescent="0.25">
      <c r="A213" s="6"/>
      <c r="B213" s="6"/>
      <c r="C213" s="6"/>
      <c r="D213" s="6"/>
      <c r="E213" s="6"/>
      <c r="F213" s="6"/>
      <c r="G213" s="6"/>
      <c r="H213" s="6"/>
    </row>
    <row r="214" spans="1:8" x14ac:dyDescent="0.25">
      <c r="A214" s="6"/>
      <c r="B214" s="6"/>
      <c r="C214" s="6"/>
      <c r="D214" s="6"/>
      <c r="E214" s="6"/>
      <c r="F214" s="6"/>
      <c r="G214" s="6"/>
      <c r="H214" s="6"/>
    </row>
    <row r="215" spans="1:8" x14ac:dyDescent="0.25">
      <c r="A215" s="6"/>
      <c r="B215" s="6"/>
      <c r="C215" s="6"/>
      <c r="D215" s="6"/>
      <c r="E215" s="6"/>
      <c r="F215" s="6"/>
      <c r="G215" s="6"/>
      <c r="H215" s="6"/>
    </row>
    <row r="216" spans="1:8" x14ac:dyDescent="0.25">
      <c r="A216" s="6"/>
      <c r="B216" s="6"/>
      <c r="C216" s="6"/>
      <c r="D216" s="6"/>
      <c r="E216" s="6"/>
      <c r="F216" s="6"/>
      <c r="G216" s="6"/>
      <c r="H216" s="6"/>
    </row>
    <row r="217" spans="1:8" x14ac:dyDescent="0.25">
      <c r="A217" s="6"/>
      <c r="B217" s="6"/>
      <c r="C217" s="6"/>
      <c r="D217" s="6"/>
      <c r="E217" s="6"/>
      <c r="F217" s="6"/>
      <c r="G217" s="6"/>
      <c r="H217" s="6"/>
    </row>
    <row r="218" spans="1:8" x14ac:dyDescent="0.25">
      <c r="A218" s="6"/>
      <c r="B218" s="6"/>
      <c r="C218" s="6"/>
      <c r="D218" s="6"/>
      <c r="E218" s="6"/>
      <c r="F218" s="6"/>
      <c r="G218" s="6"/>
      <c r="H218" s="6"/>
    </row>
    <row r="219" spans="1:8" x14ac:dyDescent="0.25">
      <c r="A219" s="6"/>
      <c r="B219" s="6"/>
      <c r="C219" s="6"/>
      <c r="D219" s="6"/>
      <c r="E219" s="6"/>
      <c r="F219" s="6"/>
      <c r="G219" s="6"/>
      <c r="H219" s="6"/>
    </row>
    <row r="220" spans="1:8" x14ac:dyDescent="0.25">
      <c r="A220" s="6"/>
      <c r="B220" s="6"/>
      <c r="C220" s="6"/>
      <c r="D220" s="6"/>
      <c r="E220" s="6"/>
      <c r="F220" s="6"/>
      <c r="G220" s="6"/>
      <c r="H220" s="6"/>
    </row>
    <row r="221" spans="1:8" x14ac:dyDescent="0.25">
      <c r="A221" s="6"/>
      <c r="B221" s="6"/>
      <c r="C221" s="6"/>
      <c r="D221" s="6"/>
      <c r="E221" s="6"/>
      <c r="F221" s="6"/>
      <c r="G221" s="6"/>
      <c r="H221" s="6"/>
    </row>
    <row r="222" spans="1:8" x14ac:dyDescent="0.25">
      <c r="A222" s="6"/>
      <c r="B222" s="6"/>
      <c r="C222" s="6"/>
      <c r="D222" s="6"/>
      <c r="E222" s="6"/>
      <c r="F222" s="6"/>
      <c r="G222" s="6"/>
      <c r="H222" s="6"/>
    </row>
    <row r="223" spans="1:8" x14ac:dyDescent="0.25">
      <c r="A223" s="6"/>
      <c r="B223" s="6"/>
      <c r="C223" s="6"/>
      <c r="D223" s="6"/>
      <c r="E223" s="6"/>
      <c r="F223" s="6"/>
      <c r="G223" s="6"/>
      <c r="H223" s="6"/>
    </row>
    <row r="224" spans="1:8" x14ac:dyDescent="0.25">
      <c r="A224" s="6"/>
      <c r="B224" s="6"/>
      <c r="C224" s="6"/>
      <c r="D224" s="6"/>
      <c r="E224" s="6"/>
      <c r="F224" s="6"/>
      <c r="G224" s="6"/>
      <c r="H224" s="6"/>
    </row>
    <row r="225" spans="1:8" x14ac:dyDescent="0.25">
      <c r="A225" s="6"/>
      <c r="B225" s="6"/>
      <c r="C225" s="6"/>
      <c r="D225" s="6"/>
      <c r="E225" s="6"/>
      <c r="F225" s="6"/>
      <c r="G225" s="6"/>
      <c r="H225" s="6"/>
    </row>
    <row r="226" spans="1:8" x14ac:dyDescent="0.25">
      <c r="A226" s="6"/>
      <c r="B226" s="6"/>
      <c r="C226" s="6"/>
      <c r="D226" s="6"/>
      <c r="E226" s="6"/>
      <c r="F226" s="6"/>
      <c r="G226" s="6"/>
      <c r="H226" s="6"/>
    </row>
    <row r="227" spans="1:8" x14ac:dyDescent="0.25">
      <c r="A227" s="6"/>
      <c r="B227" s="6"/>
      <c r="C227" s="6"/>
      <c r="D227" s="6"/>
      <c r="E227" s="6"/>
      <c r="F227" s="6"/>
      <c r="G227" s="6"/>
      <c r="H227" s="6"/>
    </row>
    <row r="228" spans="1:8" x14ac:dyDescent="0.25">
      <c r="A228" s="6"/>
      <c r="B228" s="6"/>
      <c r="C228" s="6"/>
      <c r="D228" s="6"/>
      <c r="E228" s="6"/>
      <c r="F228" s="6"/>
      <c r="G228" s="6"/>
      <c r="H228" s="6"/>
    </row>
    <row r="229" spans="1:8" x14ac:dyDescent="0.25">
      <c r="A229" s="6"/>
      <c r="B229" s="6"/>
      <c r="C229" s="6"/>
      <c r="D229" s="6"/>
      <c r="E229" s="6"/>
      <c r="F229" s="6"/>
      <c r="G229" s="6"/>
      <c r="H229" s="6"/>
    </row>
    <row r="230" spans="1:8" x14ac:dyDescent="0.25">
      <c r="A230" s="6"/>
      <c r="B230" s="6"/>
      <c r="C230" s="6"/>
      <c r="D230" s="6"/>
      <c r="E230" s="6"/>
      <c r="F230" s="6"/>
      <c r="G230" s="6"/>
      <c r="H230" s="6"/>
    </row>
    <row r="231" spans="1:8" x14ac:dyDescent="0.25">
      <c r="A231" s="6"/>
      <c r="B231" s="6"/>
      <c r="C231" s="6"/>
      <c r="D231" s="6"/>
      <c r="E231" s="6"/>
      <c r="F231" s="6"/>
      <c r="G231" s="6"/>
      <c r="H231" s="6"/>
    </row>
    <row r="232" spans="1:8" x14ac:dyDescent="0.25">
      <c r="A232" s="6"/>
      <c r="B232" s="6"/>
      <c r="C232" s="6"/>
      <c r="D232" s="6"/>
      <c r="E232" s="6"/>
      <c r="F232" s="6"/>
      <c r="G232" s="6"/>
      <c r="H232" s="6"/>
    </row>
    <row r="233" spans="1:8" x14ac:dyDescent="0.25">
      <c r="A233" s="6"/>
      <c r="B233" s="6"/>
      <c r="C233" s="6"/>
      <c r="D233" s="6"/>
      <c r="E233" s="6"/>
      <c r="F233" s="6"/>
      <c r="G233" s="6"/>
      <c r="H233" s="6"/>
    </row>
    <row r="234" spans="1:8" x14ac:dyDescent="0.25">
      <c r="A234" s="6"/>
      <c r="B234" s="6"/>
      <c r="C234" s="6"/>
      <c r="D234" s="6"/>
      <c r="E234" s="6"/>
      <c r="F234" s="6"/>
      <c r="G234" s="6"/>
      <c r="H234" s="6"/>
    </row>
    <row r="235" spans="1:8" x14ac:dyDescent="0.25">
      <c r="A235" s="6"/>
      <c r="B235" s="6"/>
      <c r="C235" s="6"/>
      <c r="D235" s="6"/>
      <c r="E235" s="6"/>
      <c r="F235" s="6"/>
      <c r="G235" s="6"/>
      <c r="H235" s="6"/>
    </row>
    <row r="236" spans="1:8" x14ac:dyDescent="0.25">
      <c r="A236" s="6"/>
      <c r="B236" s="6"/>
      <c r="C236" s="6"/>
      <c r="D236" s="6"/>
      <c r="E236" s="6"/>
      <c r="F236" s="6"/>
      <c r="G236" s="6"/>
      <c r="H236" s="6"/>
    </row>
    <row r="237" spans="1:8" x14ac:dyDescent="0.25">
      <c r="A237" s="6"/>
      <c r="B237" s="6"/>
      <c r="C237" s="6"/>
      <c r="D237" s="6"/>
      <c r="E237" s="6"/>
      <c r="F237" s="6"/>
      <c r="G237" s="6"/>
      <c r="H237" s="6"/>
    </row>
    <row r="238" spans="1:8" x14ac:dyDescent="0.25">
      <c r="A238" s="6"/>
      <c r="B238" s="6"/>
      <c r="C238" s="6"/>
      <c r="D238" s="6"/>
      <c r="E238" s="6"/>
      <c r="F238" s="6"/>
      <c r="G238" s="6"/>
      <c r="H238" s="6"/>
    </row>
    <row r="239" spans="1:8" x14ac:dyDescent="0.25">
      <c r="A239" s="6"/>
      <c r="B239" s="6"/>
      <c r="C239" s="6"/>
      <c r="D239" s="6"/>
      <c r="E239" s="6"/>
      <c r="F239" s="6"/>
      <c r="G239" s="6"/>
      <c r="H239" s="6"/>
    </row>
    <row r="240" spans="1:8" x14ac:dyDescent="0.25">
      <c r="A240" s="6"/>
      <c r="B240" s="6"/>
      <c r="C240" s="6"/>
      <c r="D240" s="6"/>
      <c r="E240" s="6"/>
      <c r="F240" s="6"/>
      <c r="G240" s="6"/>
      <c r="H240" s="6"/>
    </row>
    <row r="241" spans="1:8" x14ac:dyDescent="0.25">
      <c r="A241" s="6"/>
      <c r="B241" s="6"/>
      <c r="C241" s="6"/>
      <c r="D241" s="6"/>
      <c r="E241" s="6"/>
      <c r="F241" s="6"/>
      <c r="G241" s="6"/>
      <c r="H241" s="6"/>
    </row>
    <row r="242" spans="1:8" x14ac:dyDescent="0.25">
      <c r="A242" s="6"/>
      <c r="B242" s="6"/>
      <c r="C242" s="6"/>
      <c r="D242" s="6"/>
      <c r="E242" s="6"/>
      <c r="F242" s="6"/>
      <c r="G242" s="6"/>
      <c r="H242" s="6"/>
    </row>
    <row r="243" spans="1:8" x14ac:dyDescent="0.25">
      <c r="A243" s="6"/>
      <c r="B243" s="6"/>
      <c r="C243" s="6"/>
      <c r="D243" s="6"/>
      <c r="E243" s="6"/>
      <c r="F243" s="6"/>
      <c r="G243" s="6"/>
      <c r="H243" s="6"/>
    </row>
    <row r="244" spans="1:8" x14ac:dyDescent="0.25">
      <c r="A244" s="6"/>
      <c r="B244" s="6"/>
      <c r="C244" s="6"/>
      <c r="D244" s="6"/>
      <c r="E244" s="6"/>
      <c r="F244" s="6"/>
      <c r="G244" s="6"/>
      <c r="H244" s="6"/>
    </row>
    <row r="245" spans="1:8" x14ac:dyDescent="0.25">
      <c r="A245" s="6"/>
      <c r="B245" s="6"/>
      <c r="C245" s="6"/>
      <c r="D245" s="6"/>
      <c r="E245" s="6"/>
      <c r="F245" s="6"/>
      <c r="G245" s="6"/>
      <c r="H245" s="6"/>
    </row>
    <row r="246" spans="1:8" x14ac:dyDescent="0.25">
      <c r="A246" s="6"/>
      <c r="B246" s="6"/>
      <c r="C246" s="6"/>
      <c r="D246" s="6"/>
      <c r="E246" s="6"/>
      <c r="F246" s="6"/>
      <c r="G246" s="6"/>
      <c r="H246" s="6"/>
    </row>
    <row r="247" spans="1:8" x14ac:dyDescent="0.25">
      <c r="A247" s="6"/>
      <c r="B247" s="6"/>
      <c r="C247" s="6"/>
      <c r="D247" s="6"/>
      <c r="E247" s="6"/>
      <c r="F247" s="6"/>
      <c r="G247" s="6"/>
      <c r="H247" s="6"/>
    </row>
    <row r="248" spans="1:8" x14ac:dyDescent="0.25">
      <c r="A248" s="6"/>
      <c r="B248" s="6"/>
      <c r="C248" s="6"/>
      <c r="D248" s="6"/>
      <c r="E248" s="6"/>
      <c r="F248" s="6"/>
      <c r="G248" s="6"/>
      <c r="H248" s="6"/>
    </row>
    <row r="249" spans="1:8" x14ac:dyDescent="0.25">
      <c r="A249" s="6"/>
      <c r="B249" s="6"/>
      <c r="C249" s="6"/>
      <c r="D249" s="6"/>
      <c r="E249" s="6"/>
      <c r="F249" s="6"/>
      <c r="G249" s="6"/>
      <c r="H249" s="6"/>
    </row>
    <row r="250" spans="1:8" x14ac:dyDescent="0.25">
      <c r="A250" s="6"/>
      <c r="B250" s="6"/>
      <c r="C250" s="6"/>
      <c r="D250" s="6"/>
      <c r="E250" s="6"/>
      <c r="F250" s="6"/>
      <c r="G250" s="6"/>
      <c r="H250" s="6"/>
    </row>
    <row r="251" spans="1:8" x14ac:dyDescent="0.25">
      <c r="A251" s="6"/>
      <c r="B251" s="6"/>
      <c r="C251" s="6"/>
      <c r="D251" s="6"/>
      <c r="E251" s="6"/>
      <c r="F251" s="6"/>
      <c r="G251" s="6"/>
      <c r="H251" s="6"/>
    </row>
    <row r="252" spans="1:8" x14ac:dyDescent="0.25">
      <c r="A252" s="6"/>
      <c r="B252" s="6"/>
      <c r="C252" s="6"/>
      <c r="D252" s="6"/>
      <c r="E252" s="6"/>
      <c r="F252" s="6"/>
      <c r="G252" s="6"/>
      <c r="H252" s="6"/>
    </row>
    <row r="253" spans="1:8" x14ac:dyDescent="0.25">
      <c r="A253" s="6"/>
      <c r="B253" s="6"/>
      <c r="C253" s="6"/>
      <c r="D253" s="6"/>
      <c r="E253" s="6"/>
      <c r="F253" s="6"/>
      <c r="G253" s="6"/>
      <c r="H253" s="6"/>
    </row>
    <row r="254" spans="1:8" x14ac:dyDescent="0.25">
      <c r="A254" s="6"/>
      <c r="B254" s="6"/>
      <c r="C254" s="6"/>
      <c r="D254" s="6"/>
      <c r="E254" s="6"/>
      <c r="F254" s="6"/>
      <c r="G254" s="6"/>
      <c r="H254" s="6"/>
    </row>
    <row r="255" spans="1:8" x14ac:dyDescent="0.25">
      <c r="A255" s="6"/>
      <c r="B255" s="6"/>
      <c r="C255" s="6"/>
      <c r="D255" s="6"/>
      <c r="E255" s="6"/>
      <c r="F255" s="6"/>
      <c r="G255" s="6"/>
      <c r="H255" s="6"/>
    </row>
    <row r="256" spans="1:8" x14ac:dyDescent="0.25">
      <c r="A256" s="6"/>
      <c r="B256" s="6"/>
      <c r="C256" s="6"/>
      <c r="D256" s="6"/>
      <c r="E256" s="6"/>
      <c r="F256" s="6"/>
      <c r="G256" s="6"/>
      <c r="H256" s="6"/>
    </row>
    <row r="257" spans="1:8" x14ac:dyDescent="0.25">
      <c r="A257" s="6"/>
      <c r="B257" s="6"/>
      <c r="C257" s="6"/>
      <c r="D257" s="6"/>
      <c r="E257" s="6"/>
      <c r="F257" s="6"/>
      <c r="G257" s="6"/>
      <c r="H257" s="6"/>
    </row>
    <row r="258" spans="1:8" x14ac:dyDescent="0.25">
      <c r="A258" s="6"/>
      <c r="B258" s="6"/>
      <c r="C258" s="6"/>
      <c r="D258" s="6"/>
      <c r="E258" s="6"/>
      <c r="F258" s="6"/>
      <c r="G258" s="6"/>
      <c r="H258" s="6"/>
    </row>
    <row r="259" spans="1:8" x14ac:dyDescent="0.25">
      <c r="A259" s="6"/>
      <c r="B259" s="6"/>
      <c r="C259" s="6"/>
      <c r="D259" s="6"/>
      <c r="E259" s="6"/>
      <c r="F259" s="6"/>
      <c r="G259" s="6"/>
      <c r="H259" s="6"/>
    </row>
    <row r="260" spans="1:8" x14ac:dyDescent="0.25">
      <c r="A260" s="6"/>
      <c r="B260" s="6"/>
      <c r="C260" s="6"/>
      <c r="D260" s="6"/>
      <c r="E260" s="6"/>
      <c r="F260" s="6"/>
      <c r="G260" s="6"/>
      <c r="H260" s="6"/>
    </row>
    <row r="261" spans="1:8" x14ac:dyDescent="0.25">
      <c r="A261" s="6"/>
      <c r="B261" s="6"/>
      <c r="C261" s="6"/>
      <c r="D261" s="6"/>
      <c r="E261" s="6"/>
      <c r="F261" s="6"/>
      <c r="G261" s="6"/>
      <c r="H261" s="6"/>
    </row>
    <row r="262" spans="1:8" x14ac:dyDescent="0.25">
      <c r="A262" s="6"/>
      <c r="B262" s="6"/>
      <c r="C262" s="6"/>
      <c r="D262" s="6"/>
      <c r="E262" s="6"/>
      <c r="F262" s="6"/>
      <c r="G262" s="6"/>
      <c r="H262" s="6"/>
    </row>
    <row r="263" spans="1:8" x14ac:dyDescent="0.25">
      <c r="A263" s="6"/>
      <c r="B263" s="6"/>
      <c r="C263" s="6"/>
      <c r="D263" s="6"/>
      <c r="E263" s="6"/>
      <c r="F263" s="6"/>
      <c r="G263" s="6"/>
      <c r="H263" s="6"/>
    </row>
    <row r="264" spans="1:8" x14ac:dyDescent="0.25">
      <c r="A264" s="6"/>
      <c r="B264" s="6"/>
      <c r="C264" s="6"/>
      <c r="D264" s="6"/>
      <c r="E264" s="6"/>
      <c r="F264" s="6"/>
      <c r="G264" s="6"/>
      <c r="H264" s="6"/>
    </row>
    <row r="265" spans="1:8" x14ac:dyDescent="0.25">
      <c r="A265" s="6"/>
      <c r="B265" s="6"/>
      <c r="C265" s="6"/>
      <c r="D265" s="6"/>
      <c r="E265" s="6"/>
      <c r="F265" s="6"/>
      <c r="G265" s="6"/>
      <c r="H265" s="6"/>
    </row>
    <row r="266" spans="1:8" x14ac:dyDescent="0.25">
      <c r="A266" s="6"/>
      <c r="B266" s="6"/>
      <c r="C266" s="6"/>
      <c r="D266" s="6"/>
      <c r="E266" s="6"/>
      <c r="F266" s="6"/>
      <c r="G266" s="6"/>
      <c r="H266" s="6"/>
    </row>
    <row r="267" spans="1:8" x14ac:dyDescent="0.25">
      <c r="A267" s="6"/>
      <c r="B267" s="6"/>
      <c r="C267" s="6"/>
      <c r="D267" s="6"/>
      <c r="E267" s="6"/>
      <c r="F267" s="6"/>
      <c r="G267" s="6"/>
      <c r="H267" s="6"/>
    </row>
    <row r="268" spans="1:8" x14ac:dyDescent="0.25">
      <c r="A268" s="6"/>
      <c r="B268" s="6"/>
      <c r="C268" s="6"/>
      <c r="D268" s="6"/>
      <c r="E268" s="6"/>
      <c r="F268" s="6"/>
      <c r="G268" s="6"/>
      <c r="H268" s="6"/>
    </row>
    <row r="269" spans="1:8" x14ac:dyDescent="0.25">
      <c r="A269" s="6"/>
      <c r="B269" s="6"/>
      <c r="C269" s="6"/>
      <c r="D269" s="6"/>
      <c r="E269" s="6"/>
      <c r="F269" s="6"/>
      <c r="G269" s="6"/>
      <c r="H269" s="6"/>
    </row>
    <row r="270" spans="1:8" x14ac:dyDescent="0.25">
      <c r="A270" s="6"/>
      <c r="B270" s="6"/>
      <c r="C270" s="6"/>
      <c r="D270" s="6"/>
      <c r="E270" s="6"/>
      <c r="F270" s="6"/>
      <c r="G270" s="6"/>
      <c r="H270" s="6"/>
    </row>
    <row r="271" spans="1:8" x14ac:dyDescent="0.25">
      <c r="A271" s="6"/>
      <c r="B271" s="6"/>
      <c r="C271" s="6"/>
      <c r="D271" s="6"/>
      <c r="E271" s="6"/>
      <c r="F271" s="6"/>
      <c r="G271" s="6"/>
      <c r="H271" s="6"/>
    </row>
    <row r="272" spans="1:8" x14ac:dyDescent="0.25">
      <c r="A272" s="6"/>
      <c r="B272" s="6"/>
      <c r="C272" s="6"/>
      <c r="D272" s="6"/>
      <c r="E272" s="6"/>
      <c r="F272" s="6"/>
      <c r="G272" s="6"/>
      <c r="H272" s="6"/>
    </row>
    <row r="273" spans="1:8" x14ac:dyDescent="0.25">
      <c r="A273" s="6"/>
      <c r="B273" s="6"/>
      <c r="C273" s="6"/>
      <c r="D273" s="6"/>
      <c r="E273" s="6"/>
      <c r="F273" s="6"/>
      <c r="G273" s="6"/>
      <c r="H273" s="6"/>
    </row>
    <row r="274" spans="1:8" x14ac:dyDescent="0.25">
      <c r="A274" s="6"/>
      <c r="B274" s="6"/>
      <c r="C274" s="6"/>
      <c r="D274" s="6"/>
      <c r="E274" s="6"/>
      <c r="F274" s="6"/>
      <c r="G274" s="6"/>
      <c r="H274" s="6"/>
    </row>
    <row r="275" spans="1:8" x14ac:dyDescent="0.25">
      <c r="A275" s="6"/>
      <c r="B275" s="6"/>
      <c r="C275" s="6"/>
      <c r="D275" s="6"/>
      <c r="E275" s="6"/>
      <c r="F275" s="6"/>
      <c r="G275" s="6"/>
      <c r="H275" s="6"/>
    </row>
    <row r="276" spans="1:8" x14ac:dyDescent="0.25">
      <c r="A276" s="6"/>
      <c r="B276" s="6"/>
      <c r="C276" s="6"/>
      <c r="D276" s="6"/>
      <c r="E276" s="6"/>
      <c r="F276" s="6"/>
      <c r="G276" s="6"/>
      <c r="H276" s="6"/>
    </row>
    <row r="277" spans="1:8" x14ac:dyDescent="0.25">
      <c r="A277" s="6"/>
      <c r="B277" s="6"/>
      <c r="C277" s="6"/>
      <c r="D277" s="6"/>
      <c r="E277" s="6"/>
      <c r="F277" s="6"/>
      <c r="G277" s="6"/>
      <c r="H277" s="6"/>
    </row>
    <row r="278" spans="1:8" x14ac:dyDescent="0.25">
      <c r="A278" s="6"/>
      <c r="B278" s="6"/>
      <c r="C278" s="6"/>
      <c r="D278" s="6"/>
      <c r="E278" s="6"/>
      <c r="F278" s="6"/>
      <c r="G278" s="6"/>
      <c r="H278" s="6"/>
    </row>
    <row r="279" spans="1:8" x14ac:dyDescent="0.25">
      <c r="A279" s="6"/>
      <c r="B279" s="6"/>
      <c r="C279" s="6"/>
      <c r="D279" s="6"/>
      <c r="E279" s="6"/>
      <c r="F279" s="6"/>
      <c r="G279" s="6"/>
      <c r="H279" s="6"/>
    </row>
    <row r="280" spans="1:8" x14ac:dyDescent="0.25">
      <c r="A280" s="6"/>
      <c r="B280" s="6"/>
      <c r="C280" s="6"/>
      <c r="D280" s="6"/>
      <c r="E280" s="6"/>
      <c r="F280" s="6"/>
      <c r="G280" s="6"/>
      <c r="H280" s="6"/>
    </row>
    <row r="281" spans="1:8" x14ac:dyDescent="0.25">
      <c r="A281" s="6"/>
      <c r="B281" s="6"/>
      <c r="C281" s="6"/>
      <c r="D281" s="6"/>
      <c r="E281" s="6"/>
      <c r="F281" s="6"/>
      <c r="G281" s="6"/>
      <c r="H281" s="6"/>
    </row>
    <row r="282" spans="1:8" x14ac:dyDescent="0.25">
      <c r="A282" s="6"/>
      <c r="B282" s="6"/>
      <c r="C282" s="6"/>
      <c r="D282" s="6"/>
      <c r="E282" s="6"/>
      <c r="F282" s="6"/>
      <c r="G282" s="6"/>
      <c r="H282" s="6"/>
    </row>
    <row r="283" spans="1:8" x14ac:dyDescent="0.25">
      <c r="A283" s="6"/>
      <c r="B283" s="6"/>
      <c r="C283" s="6"/>
      <c r="D283" s="6"/>
      <c r="E283" s="6"/>
      <c r="F283" s="6"/>
      <c r="G283" s="6"/>
      <c r="H283" s="6"/>
    </row>
    <row r="284" spans="1:8" x14ac:dyDescent="0.25">
      <c r="A284" s="6"/>
      <c r="B284" s="6"/>
      <c r="C284" s="6"/>
      <c r="D284" s="6"/>
      <c r="E284" s="6"/>
      <c r="F284" s="6"/>
      <c r="G284" s="6"/>
      <c r="H284" s="6"/>
    </row>
    <row r="285" spans="1:8" x14ac:dyDescent="0.25">
      <c r="A285" s="6"/>
      <c r="B285" s="6"/>
      <c r="C285" s="6"/>
      <c r="D285" s="6"/>
      <c r="E285" s="6"/>
      <c r="F285" s="6"/>
      <c r="G285" s="6"/>
      <c r="H285" s="6"/>
    </row>
    <row r="286" spans="1:8" x14ac:dyDescent="0.25">
      <c r="A286" s="6"/>
      <c r="B286" s="6"/>
      <c r="C286" s="6"/>
      <c r="D286" s="6"/>
      <c r="E286" s="6"/>
      <c r="F286" s="6"/>
      <c r="G286" s="6"/>
      <c r="H286" s="6"/>
    </row>
    <row r="287" spans="1:8" x14ac:dyDescent="0.25">
      <c r="A287" s="6"/>
      <c r="B287" s="6"/>
      <c r="C287" s="6"/>
      <c r="D287" s="6"/>
      <c r="E287" s="6"/>
      <c r="F287" s="6"/>
      <c r="G287" s="6"/>
      <c r="H287" s="6"/>
    </row>
    <row r="288" spans="1:8" x14ac:dyDescent="0.25">
      <c r="A288" s="6"/>
      <c r="B288" s="6"/>
      <c r="C288" s="6"/>
      <c r="D288" s="6"/>
      <c r="E288" s="6"/>
      <c r="F288" s="6"/>
      <c r="G288" s="6"/>
      <c r="H288" s="6"/>
    </row>
    <row r="289" spans="1:8" x14ac:dyDescent="0.25">
      <c r="A289" s="6"/>
      <c r="B289" s="6"/>
      <c r="C289" s="6"/>
      <c r="D289" s="6"/>
      <c r="E289" s="6"/>
      <c r="F289" s="6"/>
      <c r="G289" s="6"/>
      <c r="H289" s="9"/>
    </row>
    <row r="290" spans="1:8" x14ac:dyDescent="0.25">
      <c r="A290" s="6"/>
      <c r="B290" s="6"/>
      <c r="C290" s="6"/>
      <c r="D290" s="6"/>
      <c r="E290" s="6"/>
      <c r="F290" s="6"/>
      <c r="G290" s="6"/>
      <c r="H290" s="9"/>
    </row>
    <row r="291" spans="1:8" x14ac:dyDescent="0.25">
      <c r="A291" s="6"/>
      <c r="B291" s="6"/>
      <c r="C291" s="6"/>
      <c r="D291" s="6"/>
      <c r="E291" s="6"/>
      <c r="F291" s="6"/>
      <c r="G291" s="6"/>
      <c r="H291" s="9"/>
    </row>
    <row r="292" spans="1:8" x14ac:dyDescent="0.25">
      <c r="A292" s="6"/>
      <c r="B292" s="6"/>
      <c r="C292" s="6"/>
      <c r="D292" s="6"/>
      <c r="E292" s="6"/>
      <c r="F292" s="6"/>
      <c r="G292" s="6"/>
      <c r="H292" s="9"/>
    </row>
    <row r="293" spans="1:8" x14ac:dyDescent="0.25">
      <c r="A293" s="6"/>
      <c r="B293" s="6"/>
      <c r="C293" s="6"/>
      <c r="D293" s="6"/>
      <c r="E293" s="6"/>
      <c r="F293" s="6"/>
      <c r="G293" s="6"/>
      <c r="H293" s="9"/>
    </row>
    <row r="294" spans="1:8" x14ac:dyDescent="0.25">
      <c r="A294" s="6"/>
      <c r="B294" s="6"/>
      <c r="C294" s="6"/>
      <c r="D294" s="6"/>
      <c r="E294" s="6"/>
      <c r="F294" s="6"/>
      <c r="G294" s="6"/>
      <c r="H294" s="9"/>
    </row>
    <row r="295" spans="1:8" x14ac:dyDescent="0.25">
      <c r="A295" s="6"/>
      <c r="B295" s="6"/>
      <c r="C295" s="6"/>
      <c r="D295" s="6"/>
      <c r="E295" s="6"/>
      <c r="F295" s="6"/>
      <c r="G295" s="6"/>
      <c r="H295" s="9"/>
    </row>
    <row r="296" spans="1:8" x14ac:dyDescent="0.25">
      <c r="A296" s="6"/>
      <c r="B296" s="6"/>
      <c r="C296" s="6"/>
      <c r="D296" s="6"/>
      <c r="E296" s="6"/>
      <c r="F296" s="6"/>
      <c r="G296" s="6"/>
      <c r="H296" s="9"/>
    </row>
    <row r="297" spans="1:8" x14ac:dyDescent="0.25">
      <c r="A297" s="6"/>
      <c r="B297" s="6"/>
      <c r="C297" s="6"/>
      <c r="D297" s="6"/>
      <c r="E297" s="6"/>
      <c r="F297" s="6"/>
      <c r="G297" s="6"/>
      <c r="H297" s="9"/>
    </row>
    <row r="298" spans="1:8" x14ac:dyDescent="0.25">
      <c r="A298" s="6"/>
      <c r="B298" s="6"/>
      <c r="C298" s="6"/>
      <c r="D298" s="6"/>
      <c r="E298" s="6"/>
      <c r="F298" s="6"/>
      <c r="G298" s="6"/>
      <c r="H298" s="9"/>
    </row>
    <row r="299" spans="1:8" x14ac:dyDescent="0.25">
      <c r="A299" s="6"/>
      <c r="B299" s="6"/>
      <c r="C299" s="6"/>
      <c r="D299" s="6"/>
      <c r="E299" s="6"/>
      <c r="F299" s="6"/>
      <c r="G299" s="6"/>
      <c r="H299" s="9"/>
    </row>
    <row r="300" spans="1:8" x14ac:dyDescent="0.25">
      <c r="A300" s="6"/>
      <c r="B300" s="6"/>
      <c r="C300" s="6"/>
      <c r="D300" s="6"/>
      <c r="E300" s="6"/>
      <c r="F300" s="6"/>
      <c r="G300" s="6"/>
      <c r="H300" s="9"/>
    </row>
    <row r="301" spans="1:8" x14ac:dyDescent="0.25">
      <c r="A301" s="6"/>
      <c r="B301" s="6"/>
      <c r="C301" s="6"/>
      <c r="D301" s="6"/>
      <c r="E301" s="6"/>
      <c r="F301" s="6"/>
      <c r="G301" s="6"/>
      <c r="H301" s="9"/>
    </row>
    <row r="302" spans="1:8" x14ac:dyDescent="0.25">
      <c r="A302" s="6"/>
      <c r="B302" s="6"/>
      <c r="C302" s="6"/>
      <c r="D302" s="6"/>
      <c r="E302" s="6"/>
      <c r="F302" s="6"/>
      <c r="G302" s="6"/>
      <c r="H302" s="9"/>
    </row>
    <row r="303" spans="1:8" x14ac:dyDescent="0.25">
      <c r="A303" s="6"/>
      <c r="B303" s="6"/>
      <c r="C303" s="6"/>
      <c r="D303" s="6"/>
      <c r="E303" s="6"/>
      <c r="F303" s="6"/>
      <c r="G303" s="6"/>
      <c r="H303" s="9"/>
    </row>
    <row r="304" spans="1:8" x14ac:dyDescent="0.25">
      <c r="A304" s="6"/>
      <c r="B304" s="6"/>
      <c r="C304" s="6"/>
      <c r="D304" s="6"/>
      <c r="E304" s="6"/>
      <c r="F304" s="6"/>
      <c r="G304" s="6"/>
      <c r="H304" s="9"/>
    </row>
    <row r="305" spans="1:8" x14ac:dyDescent="0.25">
      <c r="A305" s="6"/>
      <c r="B305" s="6"/>
      <c r="C305" s="6"/>
      <c r="D305" s="6"/>
      <c r="E305" s="6"/>
      <c r="F305" s="6"/>
      <c r="G305" s="6"/>
      <c r="H305" s="9"/>
    </row>
    <row r="306" spans="1:8" x14ac:dyDescent="0.25">
      <c r="A306" s="6"/>
      <c r="B306" s="6"/>
      <c r="C306" s="6"/>
      <c r="D306" s="6"/>
      <c r="E306" s="6"/>
      <c r="F306" s="6"/>
      <c r="G306" s="6"/>
      <c r="H306" s="9"/>
    </row>
    <row r="307" spans="1:8" x14ac:dyDescent="0.25">
      <c r="A307" s="6"/>
      <c r="B307" s="6"/>
      <c r="C307" s="6"/>
      <c r="D307" s="6"/>
      <c r="E307" s="6"/>
      <c r="F307" s="6"/>
      <c r="G307" s="6"/>
      <c r="H307" s="9"/>
    </row>
    <row r="308" spans="1:8" x14ac:dyDescent="0.25">
      <c r="A308" s="6"/>
      <c r="B308" s="6"/>
      <c r="C308" s="6"/>
      <c r="D308" s="6"/>
      <c r="E308" s="6"/>
      <c r="F308" s="6"/>
      <c r="G308" s="6"/>
      <c r="H308" s="9"/>
    </row>
    <row r="309" spans="1:8" x14ac:dyDescent="0.25">
      <c r="A309" s="6"/>
      <c r="B309" s="6"/>
      <c r="C309" s="6"/>
      <c r="D309" s="6"/>
      <c r="E309" s="6"/>
      <c r="F309" s="6"/>
      <c r="G309" s="6"/>
      <c r="H309" s="9"/>
    </row>
    <row r="310" spans="1:8" x14ac:dyDescent="0.25">
      <c r="A310" s="6"/>
      <c r="B310" s="6"/>
      <c r="C310" s="6"/>
      <c r="D310" s="6"/>
      <c r="E310" s="6"/>
      <c r="F310" s="6"/>
      <c r="G310" s="6"/>
      <c r="H310" s="9"/>
    </row>
    <row r="311" spans="1:8" x14ac:dyDescent="0.25">
      <c r="A311" s="6"/>
      <c r="B311" s="6"/>
      <c r="C311" s="6"/>
      <c r="D311" s="6"/>
      <c r="E311" s="6"/>
      <c r="F311" s="6"/>
      <c r="G311" s="6"/>
      <c r="H311" s="9"/>
    </row>
    <row r="312" spans="1:8" x14ac:dyDescent="0.25">
      <c r="A312" s="6"/>
      <c r="B312" s="6"/>
      <c r="C312" s="6"/>
      <c r="D312" s="6"/>
      <c r="E312" s="6"/>
      <c r="F312" s="6"/>
      <c r="G312" s="6"/>
      <c r="H312" s="9"/>
    </row>
    <row r="313" spans="1:8" x14ac:dyDescent="0.25">
      <c r="A313" s="6"/>
      <c r="B313" s="6"/>
      <c r="C313" s="6"/>
      <c r="D313" s="6"/>
      <c r="E313" s="6"/>
      <c r="F313" s="6"/>
      <c r="G313" s="6"/>
      <c r="H313" s="9"/>
    </row>
    <row r="314" spans="1:8" x14ac:dyDescent="0.25">
      <c r="A314" s="6"/>
      <c r="B314" s="6"/>
      <c r="C314" s="6"/>
      <c r="D314" s="6"/>
      <c r="E314" s="6"/>
      <c r="F314" s="6"/>
      <c r="G314" s="6"/>
      <c r="H314" s="9"/>
    </row>
    <row r="315" spans="1:8" x14ac:dyDescent="0.25">
      <c r="A315" s="6"/>
      <c r="B315" s="6"/>
      <c r="C315" s="6"/>
      <c r="D315" s="6"/>
      <c r="E315" s="6"/>
      <c r="F315" s="6"/>
      <c r="G315" s="6"/>
      <c r="H315" s="9"/>
    </row>
    <row r="316" spans="1:8" x14ac:dyDescent="0.25">
      <c r="A316" s="6"/>
      <c r="B316" s="6"/>
      <c r="C316" s="6"/>
      <c r="D316" s="6"/>
      <c r="E316" s="6"/>
      <c r="F316" s="6"/>
      <c r="G316" s="6"/>
      <c r="H316" s="9"/>
    </row>
    <row r="317" spans="1:8" x14ac:dyDescent="0.25">
      <c r="A317" s="6"/>
      <c r="B317" s="6"/>
      <c r="C317" s="6"/>
      <c r="D317" s="6"/>
      <c r="E317" s="6"/>
      <c r="F317" s="6"/>
      <c r="G317" s="6"/>
      <c r="H317" s="4"/>
    </row>
    <row r="318" spans="1:8" x14ac:dyDescent="0.25">
      <c r="A318" s="6"/>
      <c r="B318" s="6"/>
      <c r="C318" s="6"/>
      <c r="D318" s="6"/>
      <c r="E318" s="6"/>
      <c r="F318" s="6"/>
      <c r="G318" s="6"/>
      <c r="H318" s="4"/>
    </row>
    <row r="319" spans="1:8" x14ac:dyDescent="0.25">
      <c r="A319" s="6"/>
      <c r="B319" s="6"/>
      <c r="C319" s="6"/>
      <c r="D319" s="6"/>
      <c r="E319" s="6"/>
      <c r="F319" s="6"/>
      <c r="G319" s="6"/>
      <c r="H319" s="4"/>
    </row>
    <row r="320" spans="1:8" x14ac:dyDescent="0.25">
      <c r="A320" s="6"/>
      <c r="B320" s="6"/>
      <c r="C320" s="6"/>
      <c r="D320" s="6"/>
      <c r="E320" s="6"/>
      <c r="F320" s="6"/>
      <c r="G320" s="6"/>
    </row>
    <row r="321" spans="1:7" x14ac:dyDescent="0.25">
      <c r="A321" s="6"/>
      <c r="B321" s="6"/>
      <c r="C321" s="6"/>
      <c r="D321" s="6"/>
      <c r="E321" s="6"/>
      <c r="F321" s="6"/>
      <c r="G321" s="6"/>
    </row>
    <row r="322" spans="1:7" x14ac:dyDescent="0.25">
      <c r="A322" s="6"/>
      <c r="B322" s="6"/>
      <c r="C322" s="6"/>
      <c r="D322" s="6"/>
      <c r="E322" s="6"/>
      <c r="F322" s="6"/>
      <c r="G322" s="6"/>
    </row>
    <row r="323" spans="1:7" x14ac:dyDescent="0.25">
      <c r="A323" s="6"/>
      <c r="B323" s="6"/>
      <c r="C323" s="6"/>
      <c r="D323" s="6"/>
      <c r="E323" s="6"/>
      <c r="F323" s="6"/>
      <c r="G323" s="6"/>
    </row>
    <row r="324" spans="1:7" x14ac:dyDescent="0.25">
      <c r="A324" s="6"/>
      <c r="B324" s="6"/>
      <c r="C324" s="6"/>
      <c r="D324" s="6"/>
      <c r="E324" s="6"/>
      <c r="F324" s="6"/>
      <c r="G324" s="6"/>
    </row>
    <row r="325" spans="1:7" x14ac:dyDescent="0.25">
      <c r="A325" s="6"/>
      <c r="B325" s="6"/>
      <c r="C325" s="6"/>
      <c r="D325" s="6"/>
      <c r="E325" s="6"/>
      <c r="F325" s="6"/>
      <c r="G325" s="6"/>
    </row>
    <row r="326" spans="1:7" x14ac:dyDescent="0.25">
      <c r="A326" s="6"/>
      <c r="B326" s="6"/>
      <c r="C326" s="6"/>
      <c r="D326" s="6"/>
      <c r="E326" s="6"/>
      <c r="F326" s="6"/>
      <c r="G326" s="6"/>
    </row>
    <row r="327" spans="1:7" x14ac:dyDescent="0.25">
      <c r="A327" s="6"/>
      <c r="B327" s="6"/>
      <c r="C327" s="6"/>
      <c r="D327" s="6"/>
      <c r="E327" s="6"/>
      <c r="F327" s="6"/>
      <c r="G327" s="6"/>
    </row>
    <row r="328" spans="1:7" x14ac:dyDescent="0.25">
      <c r="A328" s="6"/>
      <c r="B328" s="6"/>
      <c r="C328" s="6"/>
      <c r="D328" s="6"/>
      <c r="E328" s="6"/>
      <c r="F328" s="6"/>
      <c r="G328" s="6"/>
    </row>
    <row r="329" spans="1:7" x14ac:dyDescent="0.25">
      <c r="A329" s="6"/>
      <c r="B329" s="6"/>
      <c r="C329" s="6"/>
      <c r="D329" s="6"/>
      <c r="E329" s="6"/>
      <c r="F329" s="6"/>
      <c r="G329" s="6"/>
    </row>
    <row r="330" spans="1:7" x14ac:dyDescent="0.25">
      <c r="A330" s="6"/>
      <c r="B330" s="6"/>
      <c r="C330" s="6"/>
      <c r="D330" s="6"/>
      <c r="E330" s="6"/>
      <c r="F330" s="6"/>
      <c r="G330" s="6"/>
    </row>
    <row r="331" spans="1:7" x14ac:dyDescent="0.25">
      <c r="A331" s="6"/>
      <c r="B331" s="6"/>
      <c r="C331" s="6"/>
      <c r="D331" s="6"/>
      <c r="E331" s="6"/>
      <c r="F331" s="6"/>
      <c r="G331" s="6"/>
    </row>
    <row r="332" spans="1:7" x14ac:dyDescent="0.25">
      <c r="A332" s="6"/>
      <c r="B332" s="6"/>
      <c r="C332" s="6"/>
      <c r="D332" s="6"/>
      <c r="E332" s="6"/>
      <c r="F332" s="6"/>
      <c r="G332" s="6"/>
    </row>
    <row r="333" spans="1:7" x14ac:dyDescent="0.25">
      <c r="A333" s="6"/>
      <c r="B333" s="6"/>
      <c r="C333" s="6"/>
      <c r="D333" s="6"/>
      <c r="E333" s="6"/>
      <c r="F333" s="6"/>
      <c r="G333" s="6"/>
    </row>
    <row r="334" spans="1:7" x14ac:dyDescent="0.25">
      <c r="A334" s="6"/>
      <c r="B334" s="6"/>
      <c r="C334" s="6"/>
      <c r="D334" s="6"/>
      <c r="E334" s="6"/>
      <c r="F334" s="6"/>
      <c r="G334" s="6"/>
    </row>
    <row r="335" spans="1:7" x14ac:dyDescent="0.25">
      <c r="A335" s="6"/>
      <c r="B335" s="6"/>
      <c r="C335" s="6"/>
      <c r="D335" s="6"/>
      <c r="E335" s="6"/>
      <c r="F335" s="6"/>
      <c r="G335" s="6"/>
    </row>
    <row r="336" spans="1:7" x14ac:dyDescent="0.25">
      <c r="A336" s="6"/>
      <c r="B336" s="6"/>
      <c r="C336" s="6"/>
      <c r="D336" s="6"/>
      <c r="E336" s="6"/>
      <c r="F336" s="6"/>
      <c r="G336" s="6"/>
    </row>
    <row r="337" spans="1:7" x14ac:dyDescent="0.25">
      <c r="A337" s="6"/>
      <c r="B337" s="6"/>
      <c r="C337" s="6"/>
      <c r="D337" s="6"/>
      <c r="E337" s="6"/>
      <c r="F337" s="6"/>
      <c r="G337" s="6"/>
    </row>
    <row r="338" spans="1:7" x14ac:dyDescent="0.25">
      <c r="A338" s="6"/>
      <c r="B338" s="6"/>
      <c r="C338" s="6"/>
      <c r="D338" s="6"/>
      <c r="E338" s="6"/>
      <c r="F338" s="6"/>
      <c r="G338" s="6"/>
    </row>
    <row r="339" spans="1:7" x14ac:dyDescent="0.25">
      <c r="A339" s="6"/>
      <c r="B339" s="6"/>
      <c r="C339" s="6"/>
      <c r="D339" s="6"/>
      <c r="E339" s="6"/>
      <c r="F339" s="6"/>
      <c r="G339" s="6"/>
    </row>
    <row r="340" spans="1:7" x14ac:dyDescent="0.25">
      <c r="A340" s="6"/>
      <c r="B340" s="6"/>
      <c r="C340" s="6"/>
      <c r="D340" s="6"/>
      <c r="E340" s="6"/>
      <c r="F340" s="6"/>
      <c r="G340" s="6"/>
    </row>
    <row r="341" spans="1:7" x14ac:dyDescent="0.25">
      <c r="A341" s="6"/>
      <c r="B341" s="6"/>
      <c r="C341" s="6"/>
      <c r="D341" s="6"/>
      <c r="E341" s="6"/>
      <c r="F341" s="6"/>
      <c r="G341" s="6"/>
    </row>
    <row r="342" spans="1:7" x14ac:dyDescent="0.25">
      <c r="A342" s="6"/>
      <c r="B342" s="6"/>
      <c r="C342" s="6"/>
      <c r="D342" s="6"/>
      <c r="E342" s="6"/>
      <c r="F342" s="6"/>
      <c r="G342" s="6"/>
    </row>
    <row r="343" spans="1:7" x14ac:dyDescent="0.25">
      <c r="A343" s="6"/>
      <c r="B343" s="6"/>
      <c r="C343" s="6"/>
      <c r="D343" s="6"/>
      <c r="E343" s="6"/>
      <c r="F343" s="6"/>
      <c r="G343" s="6"/>
    </row>
    <row r="344" spans="1:7" x14ac:dyDescent="0.25">
      <c r="A344" s="6"/>
      <c r="B344" s="6"/>
      <c r="C344" s="6"/>
      <c r="D344" s="6"/>
      <c r="E344" s="6"/>
      <c r="F344" s="6"/>
      <c r="G344" s="6"/>
    </row>
    <row r="345" spans="1:7" x14ac:dyDescent="0.25">
      <c r="A345" s="6"/>
      <c r="B345" s="6"/>
      <c r="C345" s="6"/>
      <c r="D345" s="6"/>
      <c r="E345" s="6"/>
      <c r="F345" s="6"/>
      <c r="G345" s="6"/>
    </row>
    <row r="346" spans="1:7" x14ac:dyDescent="0.25">
      <c r="A346" s="6"/>
      <c r="B346" s="6"/>
      <c r="C346" s="6"/>
      <c r="D346" s="6"/>
      <c r="E346" s="6"/>
      <c r="F346" s="6"/>
      <c r="G346" s="6"/>
    </row>
    <row r="347" spans="1:7" x14ac:dyDescent="0.25">
      <c r="A347" s="6"/>
      <c r="B347" s="6"/>
      <c r="C347" s="6"/>
      <c r="D347" s="6"/>
      <c r="E347" s="6"/>
      <c r="F347" s="6"/>
      <c r="G347" s="6"/>
    </row>
    <row r="348" spans="1:7" x14ac:dyDescent="0.25">
      <c r="A348" s="6"/>
      <c r="B348" s="6"/>
      <c r="C348" s="6"/>
      <c r="D348" s="6"/>
      <c r="E348" s="6"/>
      <c r="F348" s="6"/>
      <c r="G348" s="6"/>
    </row>
    <row r="349" spans="1:7" x14ac:dyDescent="0.25">
      <c r="A349" s="6"/>
      <c r="B349" s="6"/>
      <c r="C349" s="6"/>
      <c r="D349" s="6"/>
      <c r="E349" s="6"/>
      <c r="F349" s="6"/>
      <c r="G349" s="6"/>
    </row>
    <row r="350" spans="1:7" x14ac:dyDescent="0.25">
      <c r="A350" s="6"/>
      <c r="B350" s="6"/>
      <c r="C350" s="6"/>
      <c r="D350" s="6"/>
      <c r="E350" s="6"/>
      <c r="F350" s="6"/>
      <c r="G350" s="6"/>
    </row>
    <row r="351" spans="1:7" x14ac:dyDescent="0.25">
      <c r="A351" s="6"/>
      <c r="B351" s="6"/>
      <c r="C351" s="6"/>
      <c r="D351" s="6"/>
      <c r="E351" s="6"/>
      <c r="F351" s="6"/>
      <c r="G351" s="6"/>
    </row>
    <row r="352" spans="1:7" x14ac:dyDescent="0.25">
      <c r="A352" s="6"/>
      <c r="B352" s="6"/>
      <c r="C352" s="6"/>
      <c r="D352" s="6"/>
      <c r="E352" s="6"/>
      <c r="F352" s="6"/>
      <c r="G352" s="6"/>
    </row>
    <row r="353" spans="1:7" x14ac:dyDescent="0.25">
      <c r="A353" s="6"/>
      <c r="B353" s="6"/>
      <c r="C353" s="6"/>
      <c r="D353" s="6"/>
      <c r="E353" s="6"/>
      <c r="F353" s="6"/>
      <c r="G353" s="6"/>
    </row>
    <row r="354" spans="1:7" x14ac:dyDescent="0.25">
      <c r="A354" s="6"/>
      <c r="B354" s="6"/>
      <c r="C354" s="6"/>
      <c r="D354" s="6"/>
      <c r="E354" s="6"/>
      <c r="F354" s="6"/>
      <c r="G354" s="6"/>
    </row>
    <row r="355" spans="1:7" x14ac:dyDescent="0.25">
      <c r="A355" s="6"/>
      <c r="B355" s="6"/>
      <c r="C355" s="6"/>
      <c r="D355" s="6"/>
      <c r="E355" s="6"/>
      <c r="F355" s="6"/>
      <c r="G355" s="6"/>
    </row>
    <row r="356" spans="1:7" x14ac:dyDescent="0.25">
      <c r="A356" s="6"/>
      <c r="B356" s="6"/>
      <c r="C356" s="6"/>
      <c r="D356" s="6"/>
      <c r="E356" s="6"/>
      <c r="F356" s="6"/>
      <c r="G356" s="6"/>
    </row>
    <row r="357" spans="1:7" x14ac:dyDescent="0.25">
      <c r="A357" s="6"/>
      <c r="B357" s="6"/>
      <c r="C357" s="6"/>
      <c r="D357" s="6"/>
      <c r="E357" s="6"/>
      <c r="F357" s="6"/>
      <c r="G357" s="6"/>
    </row>
    <row r="358" spans="1:7" x14ac:dyDescent="0.25">
      <c r="A358" s="6"/>
      <c r="B358" s="6"/>
      <c r="C358" s="6"/>
      <c r="D358" s="6"/>
      <c r="E358" s="6"/>
      <c r="F358" s="6"/>
      <c r="G358" s="6"/>
    </row>
    <row r="359" spans="1:7" x14ac:dyDescent="0.25">
      <c r="A359" s="6"/>
      <c r="B359" s="6"/>
      <c r="C359" s="6"/>
      <c r="D359" s="6"/>
      <c r="E359" s="6"/>
      <c r="F359" s="6"/>
      <c r="G359" s="6"/>
    </row>
    <row r="360" spans="1:7" x14ac:dyDescent="0.25">
      <c r="A360" s="6"/>
      <c r="B360" s="6"/>
      <c r="C360" s="6"/>
      <c r="D360" s="6"/>
      <c r="E360" s="6"/>
      <c r="F360" s="6"/>
      <c r="G360" s="6"/>
    </row>
    <row r="361" spans="1:7" x14ac:dyDescent="0.25">
      <c r="A361" s="6"/>
      <c r="B361" s="6"/>
      <c r="C361" s="6"/>
      <c r="D361" s="6"/>
      <c r="E361" s="6"/>
      <c r="F361" s="6"/>
      <c r="G361" s="6"/>
    </row>
    <row r="362" spans="1:7" x14ac:dyDescent="0.25">
      <c r="A362" s="6"/>
      <c r="B362" s="6"/>
      <c r="C362" s="6"/>
      <c r="D362" s="6"/>
      <c r="E362" s="6"/>
      <c r="F362" s="6"/>
      <c r="G362" s="6"/>
    </row>
    <row r="363" spans="1:7" x14ac:dyDescent="0.25">
      <c r="A363" s="6"/>
      <c r="B363" s="6"/>
      <c r="C363" s="6"/>
      <c r="D363" s="6"/>
      <c r="E363" s="6"/>
      <c r="F363" s="6"/>
      <c r="G363" s="6"/>
    </row>
    <row r="364" spans="1:7" x14ac:dyDescent="0.25">
      <c r="A364" s="6"/>
      <c r="B364" s="6"/>
      <c r="C364" s="6"/>
      <c r="D364" s="6"/>
      <c r="E364" s="6"/>
      <c r="F364" s="6"/>
      <c r="G364" s="6"/>
    </row>
    <row r="365" spans="1:7" x14ac:dyDescent="0.25">
      <c r="A365" s="6"/>
      <c r="B365" s="6"/>
      <c r="C365" s="6"/>
      <c r="D365" s="6"/>
      <c r="E365" s="6"/>
      <c r="F365" s="6"/>
      <c r="G365" s="6"/>
    </row>
    <row r="366" spans="1:7" x14ac:dyDescent="0.25">
      <c r="A366" s="6"/>
      <c r="B366" s="6"/>
      <c r="C366" s="6"/>
      <c r="D366" s="6"/>
      <c r="E366" s="6"/>
      <c r="F366" s="6"/>
      <c r="G366" s="6"/>
    </row>
    <row r="367" spans="1:7" x14ac:dyDescent="0.25">
      <c r="A367" s="6"/>
      <c r="B367" s="6"/>
      <c r="C367" s="6"/>
      <c r="D367" s="6"/>
      <c r="E367" s="6"/>
      <c r="F367" s="6"/>
      <c r="G367" s="6"/>
    </row>
    <row r="368" spans="1:7" x14ac:dyDescent="0.25">
      <c r="A368" s="6"/>
      <c r="B368" s="6"/>
      <c r="C368" s="6"/>
      <c r="D368" s="6"/>
      <c r="E368" s="6"/>
      <c r="F368" s="6"/>
      <c r="G368" s="6"/>
    </row>
    <row r="369" spans="1:7" x14ac:dyDescent="0.25">
      <c r="A369" s="6"/>
      <c r="B369" s="6"/>
      <c r="C369" s="6"/>
      <c r="D369" s="6"/>
      <c r="E369" s="6"/>
      <c r="F369" s="6"/>
      <c r="G369" s="6"/>
    </row>
    <row r="370" spans="1:7" x14ac:dyDescent="0.25">
      <c r="A370" s="6"/>
      <c r="B370" s="6"/>
      <c r="C370" s="6"/>
      <c r="D370" s="6"/>
      <c r="E370" s="6"/>
      <c r="F370" s="6"/>
      <c r="G370" s="6"/>
    </row>
    <row r="371" spans="1:7" x14ac:dyDescent="0.25">
      <c r="A371" s="6"/>
      <c r="B371" s="6"/>
      <c r="C371" s="6"/>
      <c r="D371" s="6"/>
      <c r="E371" s="6"/>
      <c r="F371" s="6"/>
      <c r="G371" s="6"/>
    </row>
    <row r="372" spans="1:7" x14ac:dyDescent="0.25">
      <c r="A372" s="6"/>
      <c r="B372" s="6"/>
      <c r="C372" s="6"/>
      <c r="D372" s="6"/>
      <c r="E372" s="6"/>
      <c r="F372" s="6"/>
      <c r="G372" s="6"/>
    </row>
    <row r="373" spans="1:7" x14ac:dyDescent="0.25">
      <c r="A373" s="6"/>
      <c r="B373" s="6"/>
      <c r="C373" s="6"/>
      <c r="D373" s="6"/>
      <c r="E373" s="6"/>
      <c r="F373" s="6"/>
      <c r="G373" s="6"/>
    </row>
    <row r="374" spans="1:7" x14ac:dyDescent="0.25">
      <c r="A374" s="6"/>
      <c r="B374" s="6"/>
      <c r="C374" s="6"/>
      <c r="D374" s="6"/>
      <c r="E374" s="6"/>
      <c r="F374" s="6"/>
      <c r="G374" s="6"/>
    </row>
    <row r="375" spans="1:7" x14ac:dyDescent="0.25">
      <c r="A375" s="6"/>
      <c r="B375" s="6"/>
      <c r="C375" s="6"/>
      <c r="D375" s="6"/>
      <c r="E375" s="6"/>
      <c r="F375" s="6"/>
      <c r="G375" s="6"/>
    </row>
    <row r="376" spans="1:7" x14ac:dyDescent="0.25">
      <c r="A376" s="6"/>
      <c r="B376" s="6"/>
      <c r="C376" s="6"/>
      <c r="D376" s="6"/>
      <c r="E376" s="6"/>
      <c r="F376" s="6"/>
      <c r="G376" s="6"/>
    </row>
    <row r="377" spans="1:7" x14ac:dyDescent="0.25">
      <c r="A377" s="6"/>
      <c r="B377" s="6"/>
      <c r="C377" s="6"/>
      <c r="D377" s="6"/>
      <c r="E377" s="6"/>
      <c r="F377" s="6"/>
      <c r="G377" s="6"/>
    </row>
    <row r="378" spans="1:7" x14ac:dyDescent="0.25">
      <c r="A378" s="6"/>
      <c r="B378" s="6"/>
      <c r="C378" s="6"/>
      <c r="D378" s="6"/>
      <c r="E378" s="6"/>
      <c r="F378" s="6"/>
      <c r="G378" s="6"/>
    </row>
    <row r="379" spans="1:7" x14ac:dyDescent="0.25">
      <c r="A379" s="6"/>
      <c r="B379" s="6"/>
      <c r="C379" s="6"/>
      <c r="D379" s="6"/>
      <c r="E379" s="6"/>
      <c r="F379" s="6"/>
      <c r="G379" s="6"/>
    </row>
    <row r="380" spans="1:7" x14ac:dyDescent="0.25">
      <c r="A380" s="6"/>
      <c r="B380" s="6"/>
      <c r="C380" s="6"/>
      <c r="D380" s="6"/>
      <c r="E380" s="6"/>
      <c r="F380" s="6"/>
      <c r="G380" s="6"/>
    </row>
    <row r="381" spans="1:7" x14ac:dyDescent="0.25">
      <c r="A381" s="6"/>
      <c r="B381" s="6"/>
      <c r="C381" s="6"/>
      <c r="D381" s="6"/>
      <c r="E381" s="6"/>
      <c r="F381" s="6"/>
      <c r="G381" s="6"/>
    </row>
    <row r="382" spans="1:7" x14ac:dyDescent="0.25">
      <c r="A382" s="6"/>
      <c r="B382" s="6"/>
      <c r="C382" s="6"/>
      <c r="D382" s="6"/>
      <c r="E382" s="6"/>
      <c r="F382" s="6"/>
      <c r="G382" s="6"/>
    </row>
    <row r="383" spans="1:7" x14ac:dyDescent="0.25">
      <c r="A383" s="6"/>
      <c r="B383" s="6"/>
      <c r="C383" s="6"/>
      <c r="D383" s="6"/>
      <c r="E383" s="6"/>
      <c r="F383" s="6"/>
      <c r="G383" s="6"/>
    </row>
    <row r="384" spans="1:7" x14ac:dyDescent="0.25">
      <c r="A384" s="6"/>
      <c r="B384" s="6"/>
      <c r="C384" s="6"/>
      <c r="D384" s="6"/>
      <c r="E384" s="6"/>
      <c r="F384" s="6"/>
      <c r="G384" s="6"/>
    </row>
    <row r="385" spans="1:7" x14ac:dyDescent="0.25">
      <c r="A385" s="6"/>
      <c r="B385" s="6"/>
      <c r="C385" s="6"/>
      <c r="D385" s="6"/>
      <c r="E385" s="6"/>
      <c r="F385" s="6"/>
      <c r="G385" s="6"/>
    </row>
    <row r="386" spans="1:7" x14ac:dyDescent="0.25">
      <c r="A386" s="6"/>
      <c r="B386" s="6"/>
      <c r="C386" s="6"/>
      <c r="D386" s="6"/>
      <c r="E386" s="6"/>
      <c r="F386" s="6"/>
      <c r="G386" s="6"/>
    </row>
    <row r="387" spans="1:7" x14ac:dyDescent="0.25">
      <c r="A387" s="6"/>
      <c r="B387" s="6"/>
      <c r="C387" s="6"/>
      <c r="D387" s="6"/>
      <c r="E387" s="6"/>
      <c r="F387" s="6"/>
      <c r="G387" s="6"/>
    </row>
    <row r="388" spans="1:7" x14ac:dyDescent="0.25">
      <c r="A388" s="6"/>
      <c r="B388" s="6"/>
      <c r="C388" s="6"/>
      <c r="D388" s="6"/>
      <c r="E388" s="6"/>
      <c r="F388" s="6"/>
      <c r="G388" s="6"/>
    </row>
    <row r="389" spans="1:7" x14ac:dyDescent="0.25">
      <c r="A389" s="6"/>
      <c r="B389" s="6"/>
      <c r="C389" s="6"/>
      <c r="D389" s="6"/>
      <c r="E389" s="6"/>
      <c r="F389" s="6"/>
      <c r="G389" s="6"/>
    </row>
    <row r="390" spans="1:7" x14ac:dyDescent="0.25">
      <c r="A390" s="6"/>
      <c r="B390" s="6"/>
      <c r="C390" s="6"/>
      <c r="D390" s="6"/>
      <c r="E390" s="6"/>
      <c r="F390" s="6"/>
      <c r="G390" s="6"/>
    </row>
    <row r="391" spans="1:7" x14ac:dyDescent="0.25">
      <c r="A391" s="6"/>
      <c r="B391" s="6"/>
      <c r="C391" s="6"/>
      <c r="D391" s="6"/>
      <c r="E391" s="6"/>
      <c r="F391" s="6"/>
      <c r="G391" s="6"/>
    </row>
    <row r="392" spans="1:7" x14ac:dyDescent="0.25">
      <c r="A392" s="6"/>
      <c r="B392" s="6"/>
      <c r="C392" s="6"/>
      <c r="D392" s="6"/>
      <c r="E392" s="6"/>
      <c r="F392" s="6"/>
      <c r="G392" s="6"/>
    </row>
    <row r="393" spans="1:7" x14ac:dyDescent="0.25">
      <c r="A393" s="6"/>
      <c r="B393" s="6"/>
      <c r="C393" s="6"/>
      <c r="D393" s="6"/>
      <c r="E393" s="6"/>
      <c r="F393" s="6"/>
      <c r="G393" s="6"/>
    </row>
    <row r="394" spans="1:7" x14ac:dyDescent="0.25">
      <c r="A394" s="6"/>
      <c r="B394" s="6"/>
      <c r="C394" s="6"/>
      <c r="D394" s="6"/>
      <c r="E394" s="6"/>
      <c r="F394" s="6"/>
      <c r="G394" s="6"/>
    </row>
    <row r="395" spans="1:7" x14ac:dyDescent="0.25">
      <c r="A395" s="6"/>
      <c r="B395" s="6"/>
      <c r="C395" s="6"/>
      <c r="D395" s="6"/>
      <c r="E395" s="6"/>
      <c r="F395" s="6"/>
      <c r="G395" s="6"/>
    </row>
    <row r="396" spans="1:7" x14ac:dyDescent="0.25">
      <c r="A396" s="6"/>
      <c r="B396" s="6"/>
      <c r="C396" s="6"/>
      <c r="D396" s="6"/>
      <c r="E396" s="6"/>
      <c r="F396" s="6"/>
      <c r="G396" s="6"/>
    </row>
    <row r="397" spans="1:7" x14ac:dyDescent="0.25">
      <c r="A397" s="6"/>
      <c r="B397" s="6"/>
      <c r="C397" s="6"/>
      <c r="D397" s="6"/>
      <c r="E397" s="6"/>
      <c r="F397" s="6"/>
      <c r="G397" s="6"/>
    </row>
    <row r="398" spans="1:7" x14ac:dyDescent="0.25">
      <c r="A398" s="6"/>
      <c r="B398" s="6"/>
      <c r="C398" s="6"/>
      <c r="D398" s="6"/>
      <c r="E398" s="6"/>
      <c r="F398" s="6"/>
      <c r="G398" s="6"/>
    </row>
    <row r="399" spans="1:7" x14ac:dyDescent="0.25">
      <c r="A399" s="6"/>
      <c r="B399" s="6"/>
      <c r="C399" s="6"/>
      <c r="D399" s="6"/>
      <c r="E399" s="6"/>
      <c r="F399" s="6"/>
      <c r="G399" s="6"/>
    </row>
    <row r="400" spans="1:7" x14ac:dyDescent="0.25">
      <c r="A400" s="6"/>
      <c r="B400" s="6"/>
      <c r="C400" s="6"/>
      <c r="D400" s="6"/>
      <c r="E400" s="6"/>
      <c r="F400" s="6"/>
      <c r="G400" s="6"/>
    </row>
    <row r="401" spans="1:7" x14ac:dyDescent="0.25">
      <c r="A401" s="6"/>
      <c r="B401" s="6"/>
      <c r="C401" s="6"/>
      <c r="D401" s="6"/>
      <c r="E401" s="6"/>
      <c r="F401" s="6"/>
      <c r="G401" s="6"/>
    </row>
    <row r="402" spans="1:7" x14ac:dyDescent="0.25">
      <c r="A402" s="6"/>
      <c r="B402" s="6"/>
      <c r="C402" s="6"/>
      <c r="D402" s="6"/>
      <c r="E402" s="6"/>
      <c r="F402" s="6"/>
      <c r="G402" s="6"/>
    </row>
    <row r="403" spans="1:7" x14ac:dyDescent="0.25">
      <c r="A403" s="6"/>
      <c r="B403" s="6"/>
      <c r="C403" s="6"/>
      <c r="D403" s="6"/>
      <c r="E403" s="6"/>
      <c r="F403" s="6"/>
      <c r="G403" s="6"/>
    </row>
    <row r="404" spans="1:7" x14ac:dyDescent="0.25">
      <c r="A404" s="6"/>
      <c r="B404" s="6"/>
      <c r="C404" s="6"/>
      <c r="D404" s="6"/>
      <c r="E404" s="6"/>
      <c r="F404" s="6"/>
      <c r="G404" s="6"/>
    </row>
    <row r="405" spans="1:7" x14ac:dyDescent="0.25">
      <c r="A405" s="6"/>
      <c r="B405" s="6"/>
      <c r="C405" s="6"/>
      <c r="D405" s="6"/>
      <c r="E405" s="6"/>
      <c r="F405" s="6"/>
      <c r="G405" s="6"/>
    </row>
    <row r="406" spans="1:7" x14ac:dyDescent="0.25">
      <c r="A406" s="6"/>
      <c r="B406" s="6"/>
      <c r="C406" s="6"/>
      <c r="D406" s="6"/>
      <c r="E406" s="6"/>
      <c r="F406" s="6"/>
      <c r="G406" s="6"/>
    </row>
    <row r="407" spans="1:7" x14ac:dyDescent="0.25">
      <c r="A407" s="6"/>
      <c r="B407" s="6"/>
      <c r="C407" s="6"/>
      <c r="D407" s="6"/>
      <c r="E407" s="6"/>
      <c r="F407" s="6"/>
      <c r="G407" s="6"/>
    </row>
    <row r="408" spans="1:7" x14ac:dyDescent="0.25">
      <c r="A408" s="6"/>
      <c r="B408" s="6"/>
      <c r="C408" s="6"/>
      <c r="D408" s="6"/>
      <c r="E408" s="6"/>
      <c r="F408" s="6"/>
      <c r="G408" s="6"/>
    </row>
    <row r="409" spans="1:7" x14ac:dyDescent="0.25">
      <c r="A409" s="6"/>
      <c r="B409" s="6"/>
      <c r="C409" s="6"/>
      <c r="D409" s="6"/>
      <c r="E409" s="6"/>
      <c r="F409" s="6"/>
      <c r="G409" s="6"/>
    </row>
    <row r="410" spans="1:7" x14ac:dyDescent="0.25">
      <c r="A410" s="6"/>
      <c r="B410" s="6"/>
      <c r="C410" s="6"/>
      <c r="D410" s="6"/>
      <c r="E410" s="6"/>
      <c r="F410" s="6"/>
      <c r="G410" s="6"/>
    </row>
    <row r="411" spans="1:7" x14ac:dyDescent="0.25">
      <c r="A411" s="6"/>
      <c r="B411" s="6"/>
      <c r="C411" s="6"/>
      <c r="D411" s="6"/>
      <c r="E411" s="6"/>
      <c r="F411" s="6"/>
      <c r="G411" s="6"/>
    </row>
    <row r="412" spans="1:7" x14ac:dyDescent="0.25">
      <c r="A412" s="6"/>
      <c r="B412" s="6"/>
      <c r="C412" s="6"/>
      <c r="D412" s="6"/>
      <c r="E412" s="6"/>
      <c r="F412" s="6"/>
      <c r="G412" s="6"/>
    </row>
    <row r="413" spans="1:7" x14ac:dyDescent="0.25">
      <c r="A413" s="6"/>
      <c r="B413" s="6"/>
      <c r="C413" s="6"/>
      <c r="D413" s="6"/>
      <c r="E413" s="6"/>
      <c r="F413" s="6"/>
      <c r="G413" s="6"/>
    </row>
    <row r="414" spans="1:7" x14ac:dyDescent="0.25">
      <c r="A414" s="6"/>
      <c r="B414" s="6"/>
      <c r="C414" s="6"/>
      <c r="D414" s="6"/>
      <c r="E414" s="6"/>
      <c r="F414" s="6"/>
      <c r="G414" s="6"/>
    </row>
    <row r="415" spans="1:7" x14ac:dyDescent="0.25">
      <c r="A415" s="6"/>
      <c r="B415" s="6"/>
      <c r="C415" s="6"/>
      <c r="D415" s="6"/>
      <c r="E415" s="6"/>
      <c r="F415" s="6"/>
      <c r="G415" s="6"/>
    </row>
    <row r="416" spans="1:7" x14ac:dyDescent="0.25">
      <c r="A416" s="6"/>
      <c r="B416" s="6"/>
      <c r="C416" s="6"/>
      <c r="D416" s="6"/>
      <c r="E416" s="6"/>
      <c r="F416" s="6"/>
      <c r="G416" s="6"/>
    </row>
    <row r="417" spans="1:7" x14ac:dyDescent="0.25">
      <c r="A417" s="6"/>
      <c r="B417" s="6"/>
      <c r="C417" s="6"/>
      <c r="D417" s="6"/>
      <c r="E417" s="6"/>
      <c r="F417" s="6"/>
      <c r="G417" s="6"/>
    </row>
    <row r="418" spans="1:7" x14ac:dyDescent="0.25">
      <c r="A418" s="6"/>
      <c r="B418" s="6"/>
      <c r="C418" s="6"/>
      <c r="D418" s="6"/>
      <c r="E418" s="6"/>
      <c r="F418" s="6"/>
      <c r="G418" s="6"/>
    </row>
    <row r="419" spans="1:7" x14ac:dyDescent="0.25">
      <c r="A419" s="6"/>
      <c r="B419" s="6"/>
      <c r="C419" s="6"/>
      <c r="D419" s="6"/>
      <c r="E419" s="6"/>
      <c r="F419" s="6"/>
      <c r="G419" s="6"/>
    </row>
    <row r="420" spans="1:7" x14ac:dyDescent="0.25">
      <c r="A420" s="6"/>
      <c r="B420" s="6"/>
      <c r="C420" s="6"/>
      <c r="D420" s="6"/>
      <c r="E420" s="6"/>
      <c r="F420" s="6"/>
      <c r="G420" s="6"/>
    </row>
    <row r="421" spans="1:7" x14ac:dyDescent="0.25">
      <c r="A421" s="6"/>
      <c r="B421" s="6"/>
      <c r="C421" s="6"/>
      <c r="D421" s="6"/>
      <c r="E421" s="6"/>
      <c r="F421" s="6"/>
      <c r="G421" s="6"/>
    </row>
    <row r="422" spans="1:7" x14ac:dyDescent="0.25">
      <c r="A422" s="6"/>
      <c r="B422" s="6"/>
      <c r="C422" s="6"/>
      <c r="D422" s="6"/>
      <c r="E422" s="6"/>
      <c r="F422" s="6"/>
      <c r="G422" s="6"/>
    </row>
    <row r="423" spans="1:7" x14ac:dyDescent="0.25">
      <c r="A423" s="6"/>
      <c r="B423" s="6"/>
      <c r="C423" s="6"/>
      <c r="D423" s="6"/>
      <c r="E423" s="6"/>
      <c r="F423" s="6"/>
      <c r="G423" s="6"/>
    </row>
    <row r="424" spans="1:7" x14ac:dyDescent="0.25">
      <c r="A424" s="6"/>
      <c r="B424" s="6"/>
      <c r="C424" s="6"/>
      <c r="D424" s="6"/>
      <c r="E424" s="6"/>
      <c r="F424" s="6"/>
      <c r="G424" s="6"/>
    </row>
    <row r="425" spans="1:7" x14ac:dyDescent="0.25">
      <c r="A425" s="6"/>
      <c r="B425" s="6"/>
      <c r="C425" s="6"/>
      <c r="D425" s="6"/>
      <c r="E425" s="6"/>
      <c r="F425" s="6"/>
      <c r="G425" s="6"/>
    </row>
    <row r="426" spans="1:7" x14ac:dyDescent="0.25">
      <c r="A426" s="6"/>
      <c r="B426" s="6"/>
      <c r="C426" s="6"/>
      <c r="D426" s="6"/>
      <c r="E426" s="6"/>
      <c r="F426" s="6"/>
      <c r="G426" s="6"/>
    </row>
    <row r="427" spans="1:7" x14ac:dyDescent="0.25">
      <c r="A427" s="6"/>
      <c r="B427" s="6"/>
      <c r="C427" s="6"/>
      <c r="D427" s="6"/>
      <c r="E427" s="6"/>
      <c r="F427" s="6"/>
      <c r="G427" s="6"/>
    </row>
    <row r="428" spans="1:7" x14ac:dyDescent="0.25">
      <c r="A428" s="6"/>
      <c r="B428" s="6"/>
      <c r="C428" s="6"/>
      <c r="D428" s="6"/>
      <c r="E428" s="6"/>
      <c r="F428" s="6"/>
      <c r="G428" s="6"/>
    </row>
    <row r="429" spans="1:7" x14ac:dyDescent="0.25">
      <c r="A429" s="6"/>
      <c r="B429" s="6"/>
      <c r="C429" s="6"/>
      <c r="D429" s="6"/>
      <c r="E429" s="6"/>
      <c r="F429" s="6"/>
      <c r="G429" s="6"/>
    </row>
    <row r="430" spans="1:7" x14ac:dyDescent="0.25">
      <c r="A430" s="6"/>
      <c r="B430" s="6"/>
      <c r="C430" s="6"/>
      <c r="D430" s="6"/>
      <c r="E430" s="6"/>
      <c r="F430" s="6"/>
      <c r="G430" s="6"/>
    </row>
    <row r="431" spans="1:7" x14ac:dyDescent="0.25">
      <c r="A431" s="6"/>
      <c r="B431" s="6"/>
      <c r="C431" s="6"/>
      <c r="D431" s="6"/>
      <c r="E431" s="6"/>
      <c r="F431" s="6"/>
      <c r="G431" s="6"/>
    </row>
    <row r="432" spans="1:7" x14ac:dyDescent="0.25">
      <c r="A432" s="6"/>
      <c r="B432" s="6"/>
      <c r="C432" s="6"/>
      <c r="D432" s="6"/>
      <c r="E432" s="6"/>
      <c r="F432" s="6"/>
      <c r="G432" s="6"/>
    </row>
    <row r="433" spans="1:7" x14ac:dyDescent="0.25">
      <c r="A433" s="6"/>
      <c r="B433" s="6"/>
      <c r="C433" s="6"/>
      <c r="D433" s="6"/>
      <c r="E433" s="6"/>
      <c r="F433" s="6"/>
      <c r="G433" s="6"/>
    </row>
    <row r="434" spans="1:7" x14ac:dyDescent="0.25">
      <c r="A434" s="6"/>
      <c r="B434" s="6"/>
      <c r="C434" s="6"/>
      <c r="D434" s="6"/>
      <c r="E434" s="6"/>
      <c r="F434" s="6"/>
      <c r="G434" s="6"/>
    </row>
    <row r="435" spans="1:7" x14ac:dyDescent="0.25">
      <c r="A435" s="6"/>
      <c r="B435" s="6"/>
      <c r="C435" s="6"/>
      <c r="D435" s="6"/>
      <c r="E435" s="6"/>
      <c r="F435" s="6"/>
      <c r="G435" s="6"/>
    </row>
    <row r="436" spans="1:7" x14ac:dyDescent="0.25">
      <c r="A436" s="6"/>
      <c r="B436" s="6"/>
      <c r="C436" s="6"/>
      <c r="D436" s="6"/>
      <c r="E436" s="6"/>
      <c r="F436" s="6"/>
      <c r="G436" s="6"/>
    </row>
    <row r="437" spans="1:7" x14ac:dyDescent="0.25">
      <c r="A437" s="6"/>
      <c r="B437" s="6"/>
      <c r="C437" s="6"/>
      <c r="D437" s="6"/>
      <c r="E437" s="6"/>
      <c r="F437" s="6"/>
      <c r="G437" s="6"/>
    </row>
    <row r="438" spans="1:7" x14ac:dyDescent="0.25">
      <c r="A438" s="6"/>
      <c r="B438" s="6"/>
      <c r="C438" s="6"/>
      <c r="D438" s="6"/>
      <c r="E438" s="6"/>
      <c r="F438" s="6"/>
      <c r="G438" s="6"/>
    </row>
    <row r="439" spans="1:7" x14ac:dyDescent="0.25">
      <c r="A439" s="6"/>
      <c r="B439" s="6"/>
      <c r="C439" s="6"/>
      <c r="D439" s="6"/>
      <c r="E439" s="6"/>
      <c r="F439" s="6"/>
      <c r="G439" s="6"/>
    </row>
    <row r="440" spans="1:7" x14ac:dyDescent="0.25">
      <c r="A440" s="6"/>
      <c r="B440" s="6"/>
      <c r="C440" s="6"/>
      <c r="D440" s="6"/>
      <c r="E440" s="6"/>
      <c r="F440" s="6"/>
      <c r="G440" s="6"/>
    </row>
    <row r="441" spans="1:7" x14ac:dyDescent="0.25">
      <c r="A441" s="6"/>
      <c r="B441" s="6"/>
      <c r="C441" s="6"/>
      <c r="D441" s="6"/>
      <c r="E441" s="6"/>
      <c r="F441" s="6"/>
      <c r="G441" s="6"/>
    </row>
    <row r="442" spans="1:7" x14ac:dyDescent="0.25">
      <c r="A442" s="6"/>
      <c r="B442" s="6"/>
      <c r="C442" s="6"/>
      <c r="D442" s="6"/>
      <c r="E442" s="6"/>
      <c r="F442" s="6"/>
      <c r="G442" s="6"/>
    </row>
    <row r="443" spans="1:7" x14ac:dyDescent="0.25">
      <c r="A443" s="6"/>
      <c r="B443" s="6"/>
      <c r="C443" s="6"/>
      <c r="D443" s="6"/>
      <c r="E443" s="6"/>
      <c r="F443" s="6"/>
      <c r="G443" s="6"/>
    </row>
    <row r="444" spans="1:7" x14ac:dyDescent="0.25">
      <c r="A444" s="6"/>
      <c r="B444" s="6"/>
      <c r="C444" s="6"/>
      <c r="D444" s="6"/>
      <c r="E444" s="6"/>
      <c r="F444" s="6"/>
      <c r="G444" s="6"/>
    </row>
    <row r="445" spans="1:7" x14ac:dyDescent="0.25">
      <c r="A445" s="6"/>
      <c r="B445" s="6"/>
      <c r="C445" s="6"/>
      <c r="D445" s="6"/>
      <c r="E445" s="6"/>
      <c r="F445" s="6"/>
      <c r="G445" s="6"/>
    </row>
    <row r="446" spans="1:7" x14ac:dyDescent="0.25">
      <c r="A446" s="6"/>
      <c r="B446" s="6"/>
      <c r="C446" s="6"/>
      <c r="D446" s="6"/>
      <c r="E446" s="6"/>
      <c r="F446" s="6"/>
      <c r="G446" s="6"/>
    </row>
    <row r="447" spans="1:7" x14ac:dyDescent="0.25">
      <c r="A447" s="6"/>
      <c r="B447" s="6"/>
      <c r="C447" s="6"/>
      <c r="D447" s="6"/>
      <c r="E447" s="6"/>
      <c r="F447" s="6"/>
      <c r="G447" s="6"/>
    </row>
    <row r="448" spans="1:7" x14ac:dyDescent="0.25">
      <c r="A448" s="6"/>
      <c r="B448" s="6"/>
      <c r="C448" s="6"/>
      <c r="D448" s="6"/>
      <c r="E448" s="6"/>
      <c r="F448" s="6"/>
      <c r="G448" s="6"/>
    </row>
    <row r="449" spans="1:7" x14ac:dyDescent="0.25">
      <c r="A449" s="6"/>
      <c r="B449" s="6"/>
      <c r="C449" s="6"/>
      <c r="D449" s="6"/>
      <c r="E449" s="6"/>
      <c r="F449" s="6"/>
      <c r="G449" s="6"/>
    </row>
    <row r="450" spans="1:7" x14ac:dyDescent="0.25">
      <c r="A450" s="6"/>
      <c r="B450" s="6"/>
      <c r="C450" s="6"/>
      <c r="D450" s="6"/>
      <c r="E450" s="6"/>
      <c r="F450" s="6"/>
      <c r="G450" s="6"/>
    </row>
    <row r="451" spans="1:7" x14ac:dyDescent="0.25">
      <c r="A451" s="6"/>
      <c r="B451" s="6"/>
      <c r="C451" s="6"/>
      <c r="D451" s="6"/>
      <c r="E451" s="6"/>
      <c r="F451" s="6"/>
      <c r="G451" s="6"/>
    </row>
    <row r="452" spans="1:7" x14ac:dyDescent="0.25">
      <c r="A452" s="6"/>
      <c r="B452" s="6"/>
      <c r="C452" s="6"/>
      <c r="D452" s="6"/>
      <c r="E452" s="6"/>
      <c r="F452" s="6"/>
      <c r="G452" s="6"/>
    </row>
    <row r="453" spans="1:7" x14ac:dyDescent="0.25">
      <c r="A453" s="6"/>
      <c r="B453" s="6"/>
      <c r="C453" s="6"/>
      <c r="D453" s="6"/>
      <c r="E453" s="6"/>
      <c r="F453" s="6"/>
      <c r="G453" s="6"/>
    </row>
    <row r="454" spans="1:7" x14ac:dyDescent="0.25">
      <c r="A454" s="6"/>
      <c r="B454" s="6"/>
      <c r="C454" s="6"/>
      <c r="D454" s="6"/>
      <c r="E454" s="6"/>
      <c r="F454" s="6"/>
      <c r="G454" s="6"/>
    </row>
    <row r="455" spans="1:7" x14ac:dyDescent="0.25">
      <c r="A455" s="6"/>
      <c r="B455" s="6"/>
      <c r="C455" s="6"/>
      <c r="D455" s="6"/>
      <c r="E455" s="6"/>
      <c r="F455" s="6"/>
      <c r="G455" s="6"/>
    </row>
    <row r="456" spans="1:7" x14ac:dyDescent="0.25">
      <c r="A456" s="6"/>
      <c r="B456" s="6"/>
      <c r="C456" s="6"/>
      <c r="D456" s="6"/>
      <c r="E456" s="6"/>
      <c r="F456" s="6"/>
      <c r="G456" s="6"/>
    </row>
    <row r="457" spans="1:7" x14ac:dyDescent="0.25">
      <c r="A457" s="6"/>
      <c r="B457" s="6"/>
      <c r="C457" s="6"/>
      <c r="D457" s="6"/>
      <c r="E457" s="6"/>
      <c r="F457" s="6"/>
      <c r="G457" s="6"/>
    </row>
    <row r="458" spans="1:7" x14ac:dyDescent="0.25">
      <c r="A458" s="6"/>
      <c r="B458" s="6"/>
      <c r="C458" s="6"/>
      <c r="D458" s="6"/>
      <c r="E458" s="6"/>
      <c r="F458" s="6"/>
      <c r="G458" s="6"/>
    </row>
    <row r="459" spans="1:7" x14ac:dyDescent="0.25">
      <c r="A459" s="6"/>
      <c r="B459" s="6"/>
      <c r="C459" s="6"/>
      <c r="D459" s="6"/>
      <c r="E459" s="6"/>
      <c r="F459" s="6"/>
      <c r="G459" s="6"/>
    </row>
    <row r="460" spans="1:7" x14ac:dyDescent="0.25">
      <c r="A460" s="6"/>
      <c r="B460" s="6"/>
      <c r="C460" s="6"/>
      <c r="D460" s="6"/>
      <c r="E460" s="6"/>
      <c r="F460" s="6"/>
      <c r="G460" s="6"/>
    </row>
    <row r="461" spans="1:7" x14ac:dyDescent="0.25">
      <c r="A461" s="6"/>
      <c r="B461" s="6"/>
      <c r="C461" s="6"/>
      <c r="D461" s="6"/>
      <c r="E461" s="6"/>
      <c r="F461" s="6"/>
      <c r="G461" s="6"/>
    </row>
    <row r="462" spans="1:7" x14ac:dyDescent="0.25">
      <c r="A462" s="6"/>
      <c r="B462" s="6"/>
      <c r="C462" s="6"/>
      <c r="D462" s="6"/>
      <c r="E462" s="6"/>
      <c r="F462" s="6"/>
      <c r="G462" s="6"/>
    </row>
    <row r="463" spans="1:7" x14ac:dyDescent="0.25">
      <c r="A463" s="6"/>
      <c r="B463" s="6"/>
      <c r="C463" s="6"/>
      <c r="D463" s="6"/>
      <c r="E463" s="6"/>
      <c r="F463" s="6"/>
      <c r="G463" s="6"/>
    </row>
    <row r="464" spans="1:7" x14ac:dyDescent="0.25">
      <c r="A464" s="6"/>
      <c r="B464" s="6"/>
      <c r="C464" s="6"/>
      <c r="D464" s="6"/>
      <c r="E464" s="6"/>
      <c r="F464" s="6"/>
      <c r="G464" s="6"/>
    </row>
    <row r="465" spans="1:7" x14ac:dyDescent="0.25">
      <c r="A465" s="6"/>
      <c r="B465" s="6"/>
      <c r="C465" s="6"/>
      <c r="D465" s="6"/>
      <c r="E465" s="6"/>
      <c r="F465" s="6"/>
      <c r="G465" s="6"/>
    </row>
    <row r="466" spans="1:7" x14ac:dyDescent="0.25">
      <c r="A466" s="6"/>
      <c r="B466" s="6"/>
      <c r="C466" s="6"/>
      <c r="D466" s="6"/>
      <c r="E466" s="6"/>
      <c r="F466" s="6"/>
      <c r="G466" s="6"/>
    </row>
    <row r="467" spans="1:7" x14ac:dyDescent="0.25">
      <c r="A467" s="6"/>
      <c r="B467" s="6"/>
      <c r="C467" s="6"/>
      <c r="D467" s="6"/>
      <c r="E467" s="6"/>
      <c r="F467" s="6"/>
      <c r="G467" s="6"/>
    </row>
    <row r="468" spans="1:7" x14ac:dyDescent="0.25">
      <c r="A468" s="6"/>
      <c r="B468" s="6"/>
      <c r="C468" s="6"/>
      <c r="D468" s="6"/>
      <c r="E468" s="6"/>
      <c r="F468" s="6"/>
      <c r="G468" s="6"/>
    </row>
    <row r="469" spans="1:7" x14ac:dyDescent="0.25">
      <c r="A469" s="6"/>
      <c r="B469" s="6"/>
      <c r="C469" s="6"/>
      <c r="D469" s="6"/>
      <c r="E469" s="6"/>
      <c r="F469" s="6"/>
      <c r="G469" s="6"/>
    </row>
    <row r="470" spans="1:7" x14ac:dyDescent="0.25">
      <c r="A470" s="6"/>
      <c r="B470" s="6"/>
      <c r="C470" s="6"/>
      <c r="D470" s="6"/>
      <c r="E470" s="6"/>
      <c r="F470" s="6"/>
      <c r="G470" s="6"/>
    </row>
    <row r="471" spans="1:7" x14ac:dyDescent="0.25">
      <c r="A471" s="6"/>
      <c r="B471" s="6"/>
      <c r="C471" s="6"/>
      <c r="D471" s="6"/>
      <c r="E471" s="6"/>
      <c r="F471" s="6"/>
      <c r="G471" s="6"/>
    </row>
    <row r="472" spans="1:7" x14ac:dyDescent="0.25">
      <c r="A472" s="6"/>
      <c r="B472" s="6"/>
      <c r="C472" s="6"/>
      <c r="D472" s="6"/>
      <c r="E472" s="6"/>
      <c r="F472" s="6"/>
      <c r="G472" s="6"/>
    </row>
    <row r="473" spans="1:7" x14ac:dyDescent="0.25">
      <c r="A473" s="6"/>
      <c r="B473" s="6"/>
      <c r="C473" s="6"/>
      <c r="D473" s="6"/>
      <c r="E473" s="6"/>
      <c r="F473" s="6"/>
      <c r="G473" s="6"/>
    </row>
    <row r="474" spans="1:7" x14ac:dyDescent="0.25">
      <c r="A474" s="6"/>
      <c r="B474" s="6"/>
      <c r="C474" s="6"/>
      <c r="D474" s="6"/>
      <c r="E474" s="6"/>
      <c r="F474" s="6"/>
      <c r="G474" s="6"/>
    </row>
    <row r="475" spans="1:7" x14ac:dyDescent="0.25">
      <c r="A475" s="6"/>
      <c r="B475" s="6"/>
      <c r="C475" s="6"/>
      <c r="D475" s="6"/>
      <c r="E475" s="6"/>
      <c r="F475" s="6"/>
      <c r="G475" s="6"/>
    </row>
    <row r="476" spans="1:7" x14ac:dyDescent="0.25">
      <c r="A476" s="6"/>
      <c r="B476" s="6"/>
      <c r="C476" s="6"/>
      <c r="D476" s="6"/>
      <c r="E476" s="6"/>
      <c r="F476" s="6"/>
      <c r="G476" s="6"/>
    </row>
    <row r="477" spans="1:7" x14ac:dyDescent="0.25">
      <c r="A477" s="6"/>
      <c r="B477" s="6"/>
      <c r="C477" s="6"/>
      <c r="D477" s="6"/>
      <c r="E477" s="6"/>
      <c r="F477" s="6"/>
      <c r="G477" s="6"/>
    </row>
    <row r="478" spans="1:7" x14ac:dyDescent="0.25">
      <c r="A478" s="6"/>
      <c r="B478" s="6"/>
      <c r="C478" s="6"/>
      <c r="D478" s="6"/>
      <c r="E478" s="6"/>
      <c r="F478" s="6"/>
      <c r="G478" s="6"/>
    </row>
    <row r="479" spans="1:7" x14ac:dyDescent="0.25">
      <c r="A479" s="6"/>
      <c r="B479" s="6"/>
      <c r="C479" s="6"/>
      <c r="D479" s="6"/>
      <c r="E479" s="6"/>
      <c r="F479" s="6"/>
      <c r="G479" s="6"/>
    </row>
    <row r="480" spans="1:7" x14ac:dyDescent="0.25">
      <c r="A480" s="6"/>
      <c r="B480" s="6"/>
      <c r="C480" s="6"/>
      <c r="D480" s="6"/>
      <c r="E480" s="6"/>
      <c r="F480" s="6"/>
      <c r="G480" s="6"/>
    </row>
    <row r="481" spans="1:7" x14ac:dyDescent="0.25">
      <c r="A481" s="6"/>
      <c r="B481" s="6"/>
      <c r="C481" s="6"/>
      <c r="D481" s="6"/>
      <c r="E481" s="6"/>
      <c r="F481" s="6"/>
      <c r="G481" s="6"/>
    </row>
    <row r="482" spans="1:7" x14ac:dyDescent="0.25">
      <c r="A482" s="6"/>
      <c r="B482" s="6"/>
      <c r="C482" s="6"/>
      <c r="D482" s="6"/>
      <c r="E482" s="6"/>
      <c r="F482" s="6"/>
      <c r="G482" s="6"/>
    </row>
    <row r="483" spans="1:7" x14ac:dyDescent="0.25">
      <c r="A483" s="6"/>
      <c r="B483" s="6"/>
      <c r="C483" s="6"/>
      <c r="D483" s="6"/>
      <c r="E483" s="6"/>
      <c r="F483" s="6"/>
      <c r="G483" s="6"/>
    </row>
    <row r="484" spans="1:7" x14ac:dyDescent="0.25">
      <c r="A484" s="6"/>
      <c r="B484" s="6"/>
      <c r="C484" s="6"/>
      <c r="D484" s="6"/>
      <c r="E484" s="6"/>
      <c r="F484" s="6"/>
      <c r="G484" s="6"/>
    </row>
    <row r="485" spans="1:7" x14ac:dyDescent="0.25">
      <c r="A485" s="6"/>
      <c r="B485" s="6"/>
      <c r="C485" s="6"/>
      <c r="D485" s="6"/>
      <c r="E485" s="6"/>
      <c r="F485" s="6"/>
      <c r="G485" s="6"/>
    </row>
    <row r="486" spans="1:7" x14ac:dyDescent="0.25">
      <c r="A486" s="6"/>
      <c r="B486" s="6"/>
      <c r="C486" s="6"/>
      <c r="D486" s="6"/>
      <c r="E486" s="6"/>
      <c r="F486" s="6"/>
      <c r="G486" s="6"/>
    </row>
    <row r="487" spans="1:7" x14ac:dyDescent="0.25">
      <c r="A487" s="6"/>
      <c r="B487" s="6"/>
      <c r="C487" s="6"/>
      <c r="D487" s="6"/>
      <c r="E487" s="6"/>
      <c r="F487" s="6"/>
      <c r="G487" s="6"/>
    </row>
    <row r="488" spans="1:7" x14ac:dyDescent="0.25">
      <c r="A488" s="6"/>
      <c r="B488" s="6"/>
      <c r="C488" s="6"/>
      <c r="D488" s="6"/>
      <c r="E488" s="6"/>
      <c r="F488" s="6"/>
      <c r="G488" s="6"/>
    </row>
    <row r="489" spans="1:7" x14ac:dyDescent="0.25">
      <c r="A489" s="5"/>
      <c r="B489" s="24"/>
      <c r="C489" s="25"/>
      <c r="D489" s="4"/>
      <c r="E489" s="9"/>
      <c r="F489" s="9"/>
      <c r="G489" s="9"/>
    </row>
    <row r="490" spans="1:7" x14ac:dyDescent="0.25">
      <c r="C490" s="25"/>
      <c r="D490" s="4"/>
      <c r="E490" s="9"/>
      <c r="F490" s="9"/>
      <c r="G490" s="9"/>
    </row>
    <row r="491" spans="1:7" x14ac:dyDescent="0.25">
      <c r="A491" s="5"/>
      <c r="B491" s="24"/>
      <c r="C491" s="25"/>
      <c r="D491" s="4"/>
      <c r="E491" s="9"/>
      <c r="F491" s="9"/>
      <c r="G491" s="9"/>
    </row>
    <row r="492" spans="1:7" x14ac:dyDescent="0.25">
      <c r="A492" s="5"/>
      <c r="B492" s="24"/>
      <c r="C492" s="25"/>
      <c r="D492" s="4"/>
      <c r="E492" s="9"/>
      <c r="F492" s="9"/>
      <c r="G492" s="9"/>
    </row>
    <row r="493" spans="1:7" x14ac:dyDescent="0.25">
      <c r="A493" s="5"/>
      <c r="B493" s="24"/>
      <c r="C493" s="25"/>
      <c r="D493" s="4"/>
      <c r="E493" s="9"/>
      <c r="F493" s="9"/>
      <c r="G493" s="9"/>
    </row>
    <row r="494" spans="1:7" x14ac:dyDescent="0.25">
      <c r="A494" s="5"/>
      <c r="B494" s="24"/>
      <c r="C494" s="25"/>
      <c r="D494" s="4"/>
      <c r="E494" s="9"/>
      <c r="F494" s="9"/>
      <c r="G494" s="9"/>
    </row>
    <row r="495" spans="1:7" x14ac:dyDescent="0.25">
      <c r="A495" s="5"/>
      <c r="B495" s="24"/>
      <c r="C495" s="25"/>
      <c r="D495" s="4"/>
      <c r="E495" s="9"/>
      <c r="F495" s="9"/>
      <c r="G495" s="9"/>
    </row>
    <row r="496" spans="1:7" x14ac:dyDescent="0.25">
      <c r="A496" s="5"/>
      <c r="B496" s="24"/>
      <c r="C496" s="25"/>
      <c r="D496" s="4"/>
      <c r="E496" s="9"/>
      <c r="F496" s="9"/>
      <c r="G496" s="9"/>
    </row>
    <row r="497" spans="1:7" x14ac:dyDescent="0.25">
      <c r="A497" s="5"/>
      <c r="B497" s="24"/>
      <c r="C497" s="25"/>
      <c r="D497" s="4"/>
      <c r="E497" s="4"/>
      <c r="F497" s="4"/>
      <c r="G497" s="9"/>
    </row>
    <row r="498" spans="1:7" x14ac:dyDescent="0.25">
      <c r="A498" s="5"/>
      <c r="B498" s="24"/>
      <c r="C498" s="25"/>
      <c r="D498" s="4"/>
      <c r="E498" s="9"/>
      <c r="F498" s="9"/>
      <c r="G498" s="9"/>
    </row>
    <row r="499" spans="1:7" x14ac:dyDescent="0.25">
      <c r="A499" s="5"/>
      <c r="B499" s="24"/>
      <c r="C499" s="25"/>
      <c r="D499" s="4"/>
      <c r="E499" s="9"/>
      <c r="F499" s="9"/>
      <c r="G499" s="9"/>
    </row>
    <row r="500" spans="1:7" x14ac:dyDescent="0.25">
      <c r="A500" s="5"/>
      <c r="B500" s="24"/>
      <c r="C500" s="25"/>
      <c r="D500" s="4"/>
      <c r="E500" s="9"/>
      <c r="F500" s="9"/>
      <c r="G500" s="9"/>
    </row>
    <row r="501" spans="1:7" x14ac:dyDescent="0.25">
      <c r="A501" s="5"/>
      <c r="B501" s="24"/>
      <c r="C501" s="25"/>
      <c r="D501" s="4"/>
      <c r="E501" s="9"/>
      <c r="F501" s="9"/>
      <c r="G501" s="9"/>
    </row>
    <row r="502" spans="1:7" x14ac:dyDescent="0.25">
      <c r="A502" s="5"/>
      <c r="B502" s="24"/>
      <c r="C502" s="25"/>
      <c r="D502" s="4"/>
      <c r="E502" s="9"/>
      <c r="F502" s="9"/>
      <c r="G502" s="9"/>
    </row>
    <row r="503" spans="1:7" x14ac:dyDescent="0.25">
      <c r="A503" s="5"/>
      <c r="B503" s="24"/>
      <c r="C503" s="25"/>
      <c r="D503" s="4"/>
      <c r="E503" s="9"/>
      <c r="F503" s="9"/>
      <c r="G503" s="9"/>
    </row>
    <row r="504" spans="1:7" x14ac:dyDescent="0.25">
      <c r="A504" s="5"/>
      <c r="B504" s="24"/>
      <c r="C504" s="25"/>
      <c r="D504" s="4"/>
      <c r="E504" s="9"/>
      <c r="F504" s="9"/>
      <c r="G504" s="9"/>
    </row>
    <row r="505" spans="1:7" x14ac:dyDescent="0.25">
      <c r="A505" s="5"/>
      <c r="B505" s="24"/>
      <c r="C505" s="25"/>
      <c r="D505" s="4"/>
      <c r="E505" s="9"/>
      <c r="F505" s="9"/>
      <c r="G505" s="9"/>
    </row>
    <row r="506" spans="1:7" x14ac:dyDescent="0.25">
      <c r="A506" s="5"/>
      <c r="B506" s="24"/>
      <c r="C506" s="25"/>
      <c r="D506" s="4"/>
      <c r="E506" s="9"/>
      <c r="F506" s="9"/>
      <c r="G506" s="9"/>
    </row>
    <row r="507" spans="1:7" x14ac:dyDescent="0.25">
      <c r="A507" s="5"/>
      <c r="B507" s="24"/>
      <c r="C507" s="25"/>
      <c r="D507" s="4"/>
      <c r="E507" s="9"/>
      <c r="F507" s="9"/>
      <c r="G507" s="9"/>
    </row>
    <row r="508" spans="1:7" x14ac:dyDescent="0.25">
      <c r="A508" s="5"/>
      <c r="B508" s="24"/>
      <c r="C508" s="25"/>
      <c r="D508" s="4"/>
      <c r="E508" s="9"/>
      <c r="F508" s="9"/>
      <c r="G508" s="9"/>
    </row>
    <row r="509" spans="1:7" x14ac:dyDescent="0.25">
      <c r="A509" s="5"/>
      <c r="B509" s="24"/>
      <c r="C509" s="25"/>
      <c r="D509" s="4"/>
      <c r="E509" s="9"/>
      <c r="F509" s="9"/>
      <c r="G509" s="9"/>
    </row>
    <row r="510" spans="1:7" x14ac:dyDescent="0.25">
      <c r="A510" s="5"/>
      <c r="B510" s="24"/>
      <c r="C510" s="25"/>
      <c r="D510" s="4"/>
      <c r="E510" s="9"/>
      <c r="F510" s="9"/>
      <c r="G510" s="9"/>
    </row>
    <row r="511" spans="1:7" x14ac:dyDescent="0.25">
      <c r="A511" s="5"/>
      <c r="B511" s="24"/>
      <c r="C511" s="25"/>
      <c r="D511" s="4"/>
      <c r="E511" s="9"/>
      <c r="F511" s="9"/>
      <c r="G511" s="9"/>
    </row>
    <row r="512" spans="1:7" x14ac:dyDescent="0.25">
      <c r="A512" s="5"/>
      <c r="B512" s="24"/>
      <c r="C512" s="25"/>
      <c r="D512" s="4"/>
      <c r="E512" s="9"/>
      <c r="F512" s="9"/>
      <c r="G512" s="9"/>
    </row>
    <row r="513" spans="1:7" x14ac:dyDescent="0.25">
      <c r="A513" s="5"/>
      <c r="B513" s="24"/>
      <c r="C513" s="25"/>
      <c r="D513" s="4"/>
      <c r="E513" s="9"/>
      <c r="F513" s="9"/>
      <c r="G513" s="9"/>
    </row>
    <row r="514" spans="1:7" x14ac:dyDescent="0.25">
      <c r="A514" s="5"/>
      <c r="B514" s="24"/>
      <c r="C514" s="25"/>
      <c r="D514" s="4"/>
      <c r="E514" s="9"/>
      <c r="F514" s="9"/>
      <c r="G514" s="9"/>
    </row>
    <row r="515" spans="1:7" x14ac:dyDescent="0.25">
      <c r="A515" s="5"/>
      <c r="B515" s="24"/>
      <c r="C515" s="25"/>
      <c r="D515" s="4"/>
      <c r="E515" s="9"/>
      <c r="F515" s="9"/>
      <c r="G515" s="9"/>
    </row>
    <row r="516" spans="1:7" x14ac:dyDescent="0.25">
      <c r="A516" s="5"/>
      <c r="B516" s="24"/>
      <c r="C516" s="25"/>
      <c r="D516" s="4"/>
      <c r="E516" s="9"/>
      <c r="F516" s="9"/>
      <c r="G516" s="9"/>
    </row>
    <row r="517" spans="1:7" x14ac:dyDescent="0.25">
      <c r="A517" s="4"/>
      <c r="B517" s="4"/>
      <c r="C517" s="4"/>
      <c r="D517" s="4"/>
      <c r="E517" s="4"/>
      <c r="F517" s="4"/>
      <c r="G517" s="4"/>
    </row>
    <row r="518" spans="1:7" x14ac:dyDescent="0.25">
      <c r="A518" s="4"/>
      <c r="B518" s="4"/>
      <c r="C518" s="4"/>
      <c r="D518" s="4"/>
      <c r="E518" s="4"/>
      <c r="F518" s="4"/>
      <c r="G518" s="4"/>
    </row>
    <row r="519" spans="1:7" x14ac:dyDescent="0.25">
      <c r="A519" s="4"/>
      <c r="B519" s="4"/>
      <c r="C519" s="4"/>
      <c r="D519" s="4"/>
      <c r="E519" s="4"/>
      <c r="F519" s="4"/>
      <c r="G519" s="4"/>
    </row>
  </sheetData>
  <sheetProtection algorithmName="SHA-512" hashValue="9to5/AB2oZF2wIEROrOUJstwX9HOZXi2vAN+GkclHsJJd9yHOA9JwGDOQOBpsNWtB5R+MbsKpuVvn2VR2QLJpA==" saltValue="cJWAAFTP1yglyEl7LuPQoQ==" spinCount="100000" sheet="1" objects="1" scenarios="1" selectLockedCells="1" autoFilter="0"/>
  <protectedRanges>
    <protectedRange sqref="F29:H68 B29:D68" name="ordertable"/>
  </protectedRanges>
  <mergeCells count="4">
    <mergeCell ref="A27:C27"/>
    <mergeCell ref="A10:B10"/>
    <mergeCell ref="A12:B12"/>
    <mergeCell ref="C22:C24"/>
  </mergeCells>
  <dataValidations xWindow="317" yWindow="296" count="10">
    <dataValidation type="list" allowBlank="1" showInputMessage="1" showErrorMessage="1" sqref="C12" xr:uid="{00000000-0002-0000-0000-000000000000}">
      <formula1>$E$4:$E$7</formula1>
    </dataValidation>
    <dataValidation type="list" allowBlank="1" showInputMessage="1" showErrorMessage="1" sqref="C26" xr:uid="{00000000-0002-0000-0000-000001000000}">
      <formula1>$E$1:$E$2</formula1>
    </dataValidation>
    <dataValidation type="list" allowBlank="1" showInputMessage="1" showErrorMessage="1" sqref="H26" xr:uid="{00000000-0002-0000-0000-000002000000}">
      <formula1>$E$9:$E$11</formula1>
    </dataValidation>
    <dataValidation type="list" allowBlank="1" showInputMessage="1" showErrorMessage="1" sqref="C18" xr:uid="{00000000-0002-0000-0000-000003000000}">
      <formula1>Kostenplaatsen</formula1>
    </dataValidation>
    <dataValidation type="whole" errorStyle="information" operator="greaterThan" allowBlank="1" showInputMessage="1" showErrorMessage="1" errorTitle="You can only use integers" error="You can only use integers to indicate a quantity._x000a_" promptTitle="Only use integers!" sqref="D29:D68" xr:uid="{00000000-0002-0000-0000-000004000000}">
      <formula1>-1</formula1>
    </dataValidation>
    <dataValidation allowBlank="1" sqref="A29:A68" xr:uid="{00000000-0002-0000-0000-000005000000}"/>
    <dataValidation errorStyle="information" operator="greaterThan" allowBlank="1" showInputMessage="1" showErrorMessage="1" errorTitle="You can only use integers" error="You can only use integers to indicate a quantity._x000a_" promptTitle="Only use integers!" sqref="E29:E68" xr:uid="{00000000-0002-0000-0000-000007000000}"/>
    <dataValidation type="list" allowBlank="1" sqref="B29:B68" xr:uid="{00000000-0002-0000-0000-000008000000}">
      <formula1>Leveranciers</formula1>
    </dataValidation>
    <dataValidation type="decimal" operator="notEqual" allowBlank="1" showInputMessage="1" showErrorMessage="1" sqref="H29" xr:uid="{00000000-0002-0000-0000-000009000000}">
      <formula1>0</formula1>
    </dataValidation>
    <dataValidation type="decimal" operator="greaterThan" allowBlank="1" showInputMessage="1" showErrorMessage="1" sqref="G29:G68 H30:H68" xr:uid="{00000000-0002-0000-0000-000006000000}">
      <formula1>0</formula1>
    </dataValidation>
  </dataValidations>
  <hyperlinks>
    <hyperlink ref="D18" r:id="rId1" xr:uid="{00000000-0004-0000-0000-000000000000}"/>
    <hyperlink ref="D20" r:id="rId2" xr:uid="{00000000-0004-0000-0000-000001000000}"/>
  </hyperlinks>
  <pageMargins left="0.70866141732283472" right="0.70866141732283472" top="0.74803149606299213" bottom="0.74803149606299213" header="0.31496062992125984" footer="0.31496062992125984"/>
  <pageSetup paperSize="9" scale="65" orientation="portrait" r:id="rId3"/>
  <headerFooter>
    <oddFooter>&amp;LRevisie 1.0&amp;CFOR 01-03: Bestelaanvraag&amp;R&amp;P</oddFooter>
  </headerFooter>
  <ignoredErrors>
    <ignoredError sqref="G30:G35 G40 G36:G39" listDataValidation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Email_CurrentWorkBookStoreroom">
                <anchor moveWithCells="1" sizeWithCells="1">
                  <from>
                    <xdr:col>7</xdr:col>
                    <xdr:colOff>762000</xdr:colOff>
                    <xdr:row>75</xdr:row>
                    <xdr:rowOff>373380</xdr:rowOff>
                  </from>
                  <to>
                    <xdr:col>8</xdr:col>
                    <xdr:colOff>411480</xdr:colOff>
                    <xdr:row>77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KNOP2">
              <controlPr defaultSize="0" print="0" autoFill="0" autoPict="0" macro="[0]!Email_TweedeTekenaar">
                <anchor moveWithCells="1" sizeWithCells="1">
                  <from>
                    <xdr:col>1</xdr:col>
                    <xdr:colOff>114300</xdr:colOff>
                    <xdr:row>74</xdr:row>
                    <xdr:rowOff>121920</xdr:rowOff>
                  </from>
                  <to>
                    <xdr:col>1</xdr:col>
                    <xdr:colOff>1188720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KNOP1">
              <controlPr defaultSize="0" print="0" autoFill="0" autoPict="0" macro="[0]!Custom_MsgBox_Vraag1">
                <anchor moveWithCells="1" sizeWithCells="1">
                  <from>
                    <xdr:col>1</xdr:col>
                    <xdr:colOff>114300</xdr:colOff>
                    <xdr:row>70</xdr:row>
                    <xdr:rowOff>30480</xdr:rowOff>
                  </from>
                  <to>
                    <xdr:col>1</xdr:col>
                    <xdr:colOff>1188720</xdr:colOff>
                    <xdr:row>71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RemoveLine">
                <anchor moveWithCells="1" sizeWithCells="1">
                  <from>
                    <xdr:col>5</xdr:col>
                    <xdr:colOff>762000</xdr:colOff>
                    <xdr:row>71</xdr:row>
                    <xdr:rowOff>213360</xdr:rowOff>
                  </from>
                  <to>
                    <xdr:col>5</xdr:col>
                    <xdr:colOff>1264920</xdr:colOff>
                    <xdr:row>72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0" name="Button 34">
              <controlPr defaultSize="0" print="0" autoFill="0" autoPict="0" macro="[0]!InsertLine">
                <anchor moveWithCells="1" sizeWithCells="1">
                  <from>
                    <xdr:col>5</xdr:col>
                    <xdr:colOff>746760</xdr:colOff>
                    <xdr:row>72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1" name="Button 35">
              <controlPr defaultSize="0" print="0" autoFill="0" autoPict="0" macro="[0]!LaunchLinks">
                <anchor moveWithCells="1" sizeWithCells="1">
                  <from>
                    <xdr:col>5</xdr:col>
                    <xdr:colOff>754380</xdr:colOff>
                    <xdr:row>69</xdr:row>
                    <xdr:rowOff>45720</xdr:rowOff>
                  </from>
                  <to>
                    <xdr:col>5</xdr:col>
                    <xdr:colOff>1264920</xdr:colOff>
                    <xdr:row>71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2" name="Button 36">
              <controlPr defaultSize="0" print="0" autoFill="0" autoPict="0" macro="[0]!ExportCSV">
                <anchor moveWithCells="1" sizeWithCells="1">
                  <from>
                    <xdr:col>5</xdr:col>
                    <xdr:colOff>746760</xdr:colOff>
                    <xdr:row>75</xdr:row>
                    <xdr:rowOff>106680</xdr:rowOff>
                  </from>
                  <to>
                    <xdr:col>5</xdr:col>
                    <xdr:colOff>1264920</xdr:colOff>
                    <xdr:row>75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3" name="Button 37">
              <controlPr defaultSize="0" print="0" autoFill="0" autoPict="0" macro="[0]!ImportCSV">
                <anchor moveWithCells="1" sizeWithCells="1">
                  <from>
                    <xdr:col>5</xdr:col>
                    <xdr:colOff>746760</xdr:colOff>
                    <xdr:row>76</xdr:row>
                    <xdr:rowOff>0</xdr:rowOff>
                  </from>
                  <to>
                    <xdr:col>5</xdr:col>
                    <xdr:colOff>1264920</xdr:colOff>
                    <xdr:row>78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webPublishItems count="2">
    <webPublishItem id="27241" divId="Orderlist studenten electronica V5.01 - 2018_27241" sourceType="sheet" destinationFile="C:\Users\879387\OneDrive - Office 365 Fontys\Automatisering\orderlist\beta\Orderlist studenten electronica V5.01 - 2018.htm"/>
    <webPublishItem id="5472" divId="Orderlist studenten electronica V5.01 - 2018_5472" sourceType="range" sourceRef="A1:I40" destinationFile="C:\Users\879387\OneDrive - Office 365 Fontys\Automatisering\orderlist\beta\Orderlist studenten electronica V5.01 - 2018.htm" title="orderlist_webpage"/>
  </webPublishItem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C16"/>
  <sheetViews>
    <sheetView workbookViewId="0">
      <selection activeCell="A9" sqref="A9"/>
    </sheetView>
  </sheetViews>
  <sheetFormatPr defaultRowHeight="13.2" x14ac:dyDescent="0.25"/>
  <cols>
    <col min="1" max="1" width="15.6640625" bestFit="1" customWidth="1"/>
    <col min="2" max="2" width="15.88671875" bestFit="1" customWidth="1"/>
    <col min="3" max="3" width="73.44140625" bestFit="1" customWidth="1"/>
  </cols>
  <sheetData>
    <row r="1" spans="1:3" ht="14.4" x14ac:dyDescent="0.3">
      <c r="A1" t="s">
        <v>0</v>
      </c>
      <c r="B1" t="s">
        <v>1</v>
      </c>
      <c r="C1" s="2" t="s">
        <v>79</v>
      </c>
    </row>
    <row r="2" spans="1:3" ht="14.4" x14ac:dyDescent="0.3">
      <c r="A2" s="2" t="s">
        <v>4</v>
      </c>
      <c r="B2" s="2" t="s">
        <v>5</v>
      </c>
      <c r="C2" t="s">
        <v>80</v>
      </c>
    </row>
    <row r="3" spans="1:3" ht="14.4" x14ac:dyDescent="0.3">
      <c r="A3" s="2" t="s">
        <v>8</v>
      </c>
      <c r="B3" s="2" t="s">
        <v>81</v>
      </c>
      <c r="C3" t="s">
        <v>82</v>
      </c>
    </row>
    <row r="4" spans="1:3" ht="14.4" x14ac:dyDescent="0.3">
      <c r="A4" s="2" t="s">
        <v>10</v>
      </c>
      <c r="B4" s="2" t="s">
        <v>11</v>
      </c>
      <c r="C4" s="3" t="s">
        <v>83</v>
      </c>
    </row>
    <row r="5" spans="1:3" ht="14.4" x14ac:dyDescent="0.3">
      <c r="A5" s="2" t="s">
        <v>14</v>
      </c>
      <c r="B5" s="2" t="s">
        <v>84</v>
      </c>
      <c r="C5" t="s">
        <v>85</v>
      </c>
    </row>
    <row r="6" spans="1:3" ht="14.4" x14ac:dyDescent="0.3">
      <c r="A6" s="2" t="s">
        <v>17</v>
      </c>
      <c r="B6" s="2" t="s">
        <v>86</v>
      </c>
    </row>
    <row r="7" spans="1:3" ht="14.4" x14ac:dyDescent="0.3">
      <c r="A7" s="2" t="s">
        <v>20</v>
      </c>
      <c r="B7" s="2" t="s">
        <v>87</v>
      </c>
    </row>
    <row r="8" spans="1:3" ht="14.4" x14ac:dyDescent="0.3">
      <c r="A8" s="2" t="s">
        <v>88</v>
      </c>
      <c r="B8" s="2" t="s">
        <v>89</v>
      </c>
    </row>
    <row r="9" spans="1:3" ht="14.4" x14ac:dyDescent="0.3">
      <c r="A9" t="s">
        <v>90</v>
      </c>
      <c r="B9" s="2"/>
    </row>
    <row r="10" spans="1:3" ht="14.4" x14ac:dyDescent="0.3">
      <c r="B10" s="2"/>
    </row>
    <row r="11" spans="1:3" ht="14.4" x14ac:dyDescent="0.3">
      <c r="B11" s="2"/>
    </row>
    <row r="12" spans="1:3" ht="14.4" x14ac:dyDescent="0.3">
      <c r="B12" s="2"/>
    </row>
    <row r="13" spans="1:3" ht="14.4" x14ac:dyDescent="0.3">
      <c r="B13" s="2"/>
    </row>
    <row r="14" spans="1:3" ht="14.4" x14ac:dyDescent="0.3">
      <c r="B14" s="2"/>
    </row>
    <row r="15" spans="1:3" ht="14.4" x14ac:dyDescent="0.3">
      <c r="B15" s="2"/>
    </row>
    <row r="16" spans="1:3" ht="14.4" x14ac:dyDescent="0.3">
      <c r="B16" s="2"/>
    </row>
  </sheetData>
  <sheetProtection autoFilter="0"/>
  <dataValidations count="1">
    <dataValidation type="list" allowBlank="1" showInputMessage="1" showErrorMessage="1" sqref="C16" xr:uid="{00000000-0002-0000-0100-000000000000}">
      <formula1>$A$2:$A$15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C3"/>
  <sheetViews>
    <sheetView workbookViewId="0">
      <selection activeCell="C10" sqref="C10"/>
    </sheetView>
  </sheetViews>
  <sheetFormatPr defaultRowHeight="13.2" x14ac:dyDescent="0.25"/>
  <cols>
    <col min="1" max="1" width="48.44140625" bestFit="1" customWidth="1"/>
    <col min="2" max="2" width="37.5546875" bestFit="1" customWidth="1"/>
    <col min="3" max="3" width="44.109375" customWidth="1"/>
  </cols>
  <sheetData>
    <row r="1" spans="1:3" ht="20.100000000000001" customHeight="1" x14ac:dyDescent="0.25">
      <c r="A1" s="61" t="s">
        <v>91</v>
      </c>
      <c r="B1" s="61" t="s">
        <v>92</v>
      </c>
      <c r="C1" s="61" t="s">
        <v>93</v>
      </c>
    </row>
    <row r="2" spans="1:3" ht="20.100000000000001" customHeight="1" x14ac:dyDescent="0.25">
      <c r="A2" s="62" t="s">
        <v>94</v>
      </c>
      <c r="B2" s="60" t="s">
        <v>95</v>
      </c>
      <c r="C2" s="66"/>
    </row>
    <row r="3" spans="1:3" ht="20.100000000000001" customHeight="1" x14ac:dyDescent="0.25">
      <c r="A3" s="62" t="s">
        <v>96</v>
      </c>
      <c r="B3" s="60" t="s">
        <v>95</v>
      </c>
      <c r="C3" s="67"/>
    </row>
  </sheetData>
  <sheetProtection algorithmName="SHA-512" hashValue="ws9MAZliHjPWwunrrjw+ci7omEvIJApufTJ/W4Kqr0D5Fu4jOotPiS/uhgZiikGxvCLwweDU+bNbHOvDP9g1aw==" saltValue="8651ml8ND/3FgA8IwKUOhQ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InfoMan"/>
  <dimension ref="A1:B3"/>
  <sheetViews>
    <sheetView workbookViewId="0">
      <pane ySplit="19" topLeftCell="A20" activePane="bottomLeft" state="frozen"/>
      <selection pane="bottomLeft" activeCell="B2" sqref="B2"/>
    </sheetView>
  </sheetViews>
  <sheetFormatPr defaultRowHeight="13.2" x14ac:dyDescent="0.25"/>
  <cols>
    <col min="1" max="1" width="67.88671875" customWidth="1"/>
    <col min="2" max="2" width="27" customWidth="1"/>
  </cols>
  <sheetData>
    <row r="1" spans="1:2" ht="20.100000000000001" customHeight="1" x14ac:dyDescent="0.25">
      <c r="A1" s="61" t="s">
        <v>97</v>
      </c>
      <c r="B1" s="61" t="s">
        <v>98</v>
      </c>
    </row>
    <row r="2" spans="1:2" ht="25.2" customHeight="1" x14ac:dyDescent="0.25">
      <c r="A2" s="90" t="s">
        <v>99</v>
      </c>
      <c r="B2" s="91"/>
    </row>
    <row r="3" spans="1:2" x14ac:dyDescent="0.25">
      <c r="A3" s="62"/>
    </row>
  </sheetData>
  <sheetProtection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/>
  <dimension ref="A1:G30"/>
  <sheetViews>
    <sheetView workbookViewId="0">
      <pane ySplit="1" topLeftCell="A2" activePane="bottomLeft" state="frozen"/>
      <selection pane="bottomLeft"/>
    </sheetView>
  </sheetViews>
  <sheetFormatPr defaultRowHeight="13.2" x14ac:dyDescent="0.25"/>
  <cols>
    <col min="1" max="1" width="17.109375" bestFit="1" customWidth="1"/>
    <col min="2" max="2" width="2.5546875" customWidth="1"/>
    <col min="3" max="3" width="33.6640625" bestFit="1" customWidth="1"/>
    <col min="4" max="4" width="2.5546875" customWidth="1"/>
    <col min="5" max="5" width="11.88671875" customWidth="1"/>
    <col min="6" max="6" width="2.5546875" customWidth="1"/>
    <col min="7" max="7" width="18.44140625" bestFit="1" customWidth="1"/>
    <col min="8" max="8" width="2.5546875" customWidth="1"/>
  </cols>
  <sheetData>
    <row r="1" spans="1:7" x14ac:dyDescent="0.25">
      <c r="C1" s="72" t="s">
        <v>100</v>
      </c>
      <c r="E1" s="72" t="s">
        <v>101</v>
      </c>
      <c r="G1" s="72" t="s">
        <v>102</v>
      </c>
    </row>
    <row r="2" spans="1:7" x14ac:dyDescent="0.25">
      <c r="A2" t="s">
        <v>103</v>
      </c>
      <c r="C2" t="s">
        <v>104</v>
      </c>
      <c r="E2">
        <v>100</v>
      </c>
      <c r="G2" t="s">
        <v>10</v>
      </c>
    </row>
    <row r="3" spans="1:7" x14ac:dyDescent="0.25">
      <c r="C3" t="s">
        <v>105</v>
      </c>
      <c r="E3">
        <v>300</v>
      </c>
      <c r="G3" t="s">
        <v>8</v>
      </c>
    </row>
    <row r="4" spans="1:7" x14ac:dyDescent="0.25">
      <c r="C4" t="s">
        <v>106</v>
      </c>
      <c r="E4">
        <v>860</v>
      </c>
      <c r="G4" t="s">
        <v>4</v>
      </c>
    </row>
    <row r="5" spans="1:7" x14ac:dyDescent="0.25">
      <c r="C5" t="s">
        <v>107</v>
      </c>
      <c r="E5">
        <v>852</v>
      </c>
      <c r="G5" t="s">
        <v>14</v>
      </c>
    </row>
    <row r="6" spans="1:7" x14ac:dyDescent="0.25">
      <c r="C6" t="s">
        <v>108</v>
      </c>
      <c r="G6" t="s">
        <v>17</v>
      </c>
    </row>
    <row r="7" spans="1:7" x14ac:dyDescent="0.25">
      <c r="C7" t="s">
        <v>109</v>
      </c>
      <c r="G7" t="s">
        <v>90</v>
      </c>
    </row>
    <row r="8" spans="1:7" x14ac:dyDescent="0.25">
      <c r="C8" t="s">
        <v>110</v>
      </c>
      <c r="G8" t="s">
        <v>20</v>
      </c>
    </row>
    <row r="9" spans="1:7" x14ac:dyDescent="0.25">
      <c r="C9" t="s">
        <v>111</v>
      </c>
      <c r="G9" t="s">
        <v>88</v>
      </c>
    </row>
    <row r="10" spans="1:7" x14ac:dyDescent="0.25">
      <c r="C10" t="s">
        <v>112</v>
      </c>
      <c r="G10" t="s">
        <v>113</v>
      </c>
    </row>
    <row r="11" spans="1:7" x14ac:dyDescent="0.25">
      <c r="C11" t="s">
        <v>114</v>
      </c>
      <c r="G11" t="s">
        <v>115</v>
      </c>
    </row>
    <row r="12" spans="1:7" x14ac:dyDescent="0.25">
      <c r="C12" t="s">
        <v>116</v>
      </c>
      <c r="G12" t="s">
        <v>117</v>
      </c>
    </row>
    <row r="13" spans="1:7" x14ac:dyDescent="0.25">
      <c r="C13" t="s">
        <v>118</v>
      </c>
      <c r="G13" t="s">
        <v>119</v>
      </c>
    </row>
    <row r="14" spans="1:7" x14ac:dyDescent="0.25">
      <c r="C14" t="s">
        <v>120</v>
      </c>
      <c r="G14" t="s">
        <v>121</v>
      </c>
    </row>
    <row r="15" spans="1:7" x14ac:dyDescent="0.25">
      <c r="C15" t="s">
        <v>122</v>
      </c>
      <c r="G15" t="s">
        <v>123</v>
      </c>
    </row>
    <row r="16" spans="1:7" x14ac:dyDescent="0.25">
      <c r="C16" t="s">
        <v>124</v>
      </c>
      <c r="G16" t="s">
        <v>125</v>
      </c>
    </row>
    <row r="17" spans="3:7" x14ac:dyDescent="0.25">
      <c r="C17" t="s">
        <v>45</v>
      </c>
      <c r="G17" t="s">
        <v>126</v>
      </c>
    </row>
    <row r="18" spans="3:7" x14ac:dyDescent="0.25">
      <c r="C18" t="s">
        <v>127</v>
      </c>
      <c r="G18" t="s">
        <v>128</v>
      </c>
    </row>
    <row r="19" spans="3:7" x14ac:dyDescent="0.25">
      <c r="C19" t="s">
        <v>129</v>
      </c>
      <c r="G19" t="s">
        <v>130</v>
      </c>
    </row>
    <row r="20" spans="3:7" x14ac:dyDescent="0.25">
      <c r="C20" t="s">
        <v>131</v>
      </c>
      <c r="G20" t="s">
        <v>132</v>
      </c>
    </row>
    <row r="21" spans="3:7" x14ac:dyDescent="0.25">
      <c r="G21" t="s">
        <v>74</v>
      </c>
    </row>
    <row r="22" spans="3:7" x14ac:dyDescent="0.25">
      <c r="G22" t="s">
        <v>133</v>
      </c>
    </row>
    <row r="23" spans="3:7" x14ac:dyDescent="0.25">
      <c r="G23" t="s">
        <v>134</v>
      </c>
    </row>
    <row r="24" spans="3:7" x14ac:dyDescent="0.25">
      <c r="G24" t="s">
        <v>135</v>
      </c>
    </row>
    <row r="25" spans="3:7" x14ac:dyDescent="0.25">
      <c r="G25" t="s">
        <v>136</v>
      </c>
    </row>
    <row r="26" spans="3:7" x14ac:dyDescent="0.25">
      <c r="G26" t="s">
        <v>137</v>
      </c>
    </row>
    <row r="27" spans="3:7" x14ac:dyDescent="0.25">
      <c r="G27" t="s">
        <v>138</v>
      </c>
    </row>
    <row r="28" spans="3:7" x14ac:dyDescent="0.25">
      <c r="G28" t="s">
        <v>139</v>
      </c>
    </row>
    <row r="29" spans="3:7" x14ac:dyDescent="0.25">
      <c r="G29" t="s">
        <v>140</v>
      </c>
    </row>
    <row r="30" spans="3:7" x14ac:dyDescent="0.25">
      <c r="G30" t="s">
        <v>141</v>
      </c>
    </row>
  </sheetData>
  <sheetProtection autoFilter="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A3"/>
  <sheetViews>
    <sheetView workbookViewId="0">
      <selection activeCell="E42" sqref="E42"/>
    </sheetView>
  </sheetViews>
  <sheetFormatPr defaultRowHeight="13.2" x14ac:dyDescent="0.25"/>
  <sheetData>
    <row r="1" spans="1:1" x14ac:dyDescent="0.25">
      <c r="A1" s="1" t="s">
        <v>142</v>
      </c>
    </row>
    <row r="2" spans="1:1" x14ac:dyDescent="0.25">
      <c r="A2" s="1" t="s">
        <v>143</v>
      </c>
    </row>
    <row r="3" spans="1:1" x14ac:dyDescent="0.25">
      <c r="A3" s="1" t="s">
        <v>144</v>
      </c>
    </row>
  </sheetData>
  <sheetProtection autoFilter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605d510-ea22-4a19-9636-83991cd40530">
      <Terms xmlns="http://schemas.microsoft.com/office/infopath/2007/PartnerControls"/>
    </lcf76f155ced4ddcb4097134ff3c332f>
    <TaxCatchAll xmlns="93d10ab3-c374-42b2-b04c-92aeca1ade1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3584BCC6BB6D4598D7263658BDDC90" ma:contentTypeVersion="11" ma:contentTypeDescription="Een nieuw document maken." ma:contentTypeScope="" ma:versionID="3bb6e2e8b47d785bcb6b914d02658544">
  <xsd:schema xmlns:xsd="http://www.w3.org/2001/XMLSchema" xmlns:xs="http://www.w3.org/2001/XMLSchema" xmlns:p="http://schemas.microsoft.com/office/2006/metadata/properties" xmlns:ns2="a605d510-ea22-4a19-9636-83991cd40530" xmlns:ns3="93d10ab3-c374-42b2-b04c-92aeca1ade14" targetNamespace="http://schemas.microsoft.com/office/2006/metadata/properties" ma:root="true" ma:fieldsID="6ce472147113f9fe47bf077c5d6cbf20" ns2:_="" ns3:_="">
    <xsd:import namespace="a605d510-ea22-4a19-9636-83991cd40530"/>
    <xsd:import namespace="93d10ab3-c374-42b2-b04c-92aeca1ade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05d510-ea22-4a19-9636-83991cd405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d10ab3-c374-42b2-b04c-92aeca1ade14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41f60f89-300f-4038-9857-7549ee94da49}" ma:internalName="TaxCatchAll" ma:showField="CatchAllData" ma:web="93d10ab3-c374-42b2-b04c-92aeca1ade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984FC35-D190-4D71-A03F-5A49BA55CD93}">
  <ds:schemaRefs>
    <ds:schemaRef ds:uri="http://schemas.microsoft.com/office/2006/metadata/properties"/>
    <ds:schemaRef ds:uri="http://schemas.microsoft.com/office/infopath/2007/PartnerControls"/>
    <ds:schemaRef ds:uri="a605d510-ea22-4a19-9636-83991cd40530"/>
    <ds:schemaRef ds:uri="93d10ab3-c374-42b2-b04c-92aeca1ade14"/>
  </ds:schemaRefs>
</ds:datastoreItem>
</file>

<file path=customXml/itemProps2.xml><?xml version="1.0" encoding="utf-8"?>
<ds:datastoreItem xmlns:ds="http://schemas.openxmlformats.org/officeDocument/2006/customXml" ds:itemID="{E6D4161A-19A6-4511-8D6B-D011AC78B8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427EB46-56EB-4DED-83AE-6BC82D9BA9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05d510-ea22-4a19-9636-83991cd40530"/>
    <ds:schemaRef ds:uri="93d10ab3-c374-42b2-b04c-92aeca1ade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Orderlist</vt:lpstr>
      <vt:lpstr>Booleans</vt:lpstr>
      <vt:lpstr>Settings</vt:lpstr>
      <vt:lpstr>Validaties</vt:lpstr>
      <vt:lpstr>_56F9DC9755BA473782653E2940F9</vt:lpstr>
      <vt:lpstr>buffer</vt:lpstr>
      <vt:lpstr>Initialized</vt:lpstr>
    </vt:vector>
  </TitlesOfParts>
  <Manager/>
  <Company>Fontys Hogescholen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v2.22</dc:title>
  <dc:subject/>
  <dc:creator>n.delhey@fontys.nl</dc:creator>
  <cp:keywords/>
  <dc:description/>
  <cp:lastModifiedBy>Robin van den Dungen</cp:lastModifiedBy>
  <cp:revision/>
  <dcterms:created xsi:type="dcterms:W3CDTF">2018-01-11T11:16:05Z</dcterms:created>
  <dcterms:modified xsi:type="dcterms:W3CDTF">2023-06-14T12:53:50Z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0b5619c4-09d4-40e3-b137-f28ae61322e5</vt:lpwstr>
  </property>
  <property fmtid="{D5CDD505-2E9C-101B-9397-08002B2CF9AE}" pid="3" name="ConnectionInfosStorage">
    <vt:lpwstr>WorkbookXmlParts</vt:lpwstr>
  </property>
  <property fmtid="{D5CDD505-2E9C-101B-9397-08002B2CF9AE}" pid="4" name="ContentTypeId">
    <vt:lpwstr>0x010100C63584BCC6BB6D4598D7263658BDDC90</vt:lpwstr>
  </property>
  <property fmtid="{D5CDD505-2E9C-101B-9397-08002B2CF9AE}" pid="5" name="_dlc_DocIdItemGuid">
    <vt:lpwstr>76c4c8fd-7fef-45b5-83ce-5e34b5e5862e</vt:lpwstr>
  </property>
  <property fmtid="{D5CDD505-2E9C-101B-9397-08002B2CF9AE}" pid="6" name="MediaServiceImageTags">
    <vt:lpwstr/>
  </property>
  <property fmtid="{D5CDD505-2E9C-101B-9397-08002B2CF9AE}" pid="7" name="PROP_buffer">
    <vt:lpwstr/>
  </property>
  <property fmtid="{D5CDD505-2E9C-101B-9397-08002B2CF9AE}" pid="8" name="PROP_Initialized">
    <vt:lpwstr/>
  </property>
</Properties>
</file>