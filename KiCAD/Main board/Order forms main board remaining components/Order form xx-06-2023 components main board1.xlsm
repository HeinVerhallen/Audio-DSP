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477" documentId="13_ncr:1_{C6327837-2878-4E88-9722-0743A9B87D1F}" xr6:coauthVersionLast="47" xr6:coauthVersionMax="47" xr10:uidLastSave="{6949A52B-8E0A-4BC7-917D-035C13AC7607}"/>
  <workbookProtection workbookAlgorithmName="SHA-512" workbookHashValue="97hauRiiYirncdGaBw2UE5/IWnVH9hCy5eGVf6oEK3syb2NIjdk0PBfoYyk5uUrUGspFnjRe1NMJX8ebi7EQsg==" workbookSaltValue="bjUozqD+OmH+xrVmNHXnxQ==" workbookSpinCount="100000" lockStructure="1"/>
  <bookViews>
    <workbookView xWindow="-96" yWindow="0" windowWidth="11712" windowHeight="1233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<sst xmlns="http://schemas.openxmlformats.org/spreadsheetml/2006/main" count="301" uniqueCount="232">
  <si>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</si>
  <si>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</si>
  <si>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</si>
  <si>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</si>
  <si>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</si>
  <si>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</si>
  <si>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</si>
  <si>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</si>
  <si>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</si>
  <si>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</si>
  <si>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</si>
  <si>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</si>
  <si>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</si>
  <si>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</si>
  <si>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</si>
  <si>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</si>
  <si>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</si>
  <si>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</si>
  <si>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</si>
  <si>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</si>
  <si>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</si>
  <si>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</si>
  <si>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</si>
  <si>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</si>
  <si>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</si>
  <si>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</si>
  <si>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</si>
  <si>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</si>
  <si>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</si>
  <si>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</si>
  <si>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</si>
  <si>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</si>
  <si>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</si>
  <si>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</si>
  <si>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</si>
  <si>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</si>
  <si>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</si>
  <si>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</si>
  <si>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</si>
  <si>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</si>
  <si>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</si>
  <si>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</si>
  <si>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</si>
  <si>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</si>
  <si>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</si>
  <si>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</si>
  <si>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</si>
  <si>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</si>
  <si>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</si>
  <si>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</si>
  <si>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</si>
  <si>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</si>
  <si>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</si>
  <si>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</si>
  <si>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</si>
  <si>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</si>
  <si>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</si>
  <si>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</si>
  <si>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</si>
  <si>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</si>
  <si>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</si>
  <si>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</si>
  <si>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</si>
  <si>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</si>
  <si>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</si>
  <si>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</si>
  <si>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</si>
  <si>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</si>
  <si>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</si>
  <si>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</si>
  <si>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</si>
  <si>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</si>
  <si>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</si>
  <si>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</si>
  <si>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</si>
  <si>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</si>
  <si>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</si>
  <si>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</si>
  <si>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</si>
  <si>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</si>
  <si>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</si>
  <si>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</si>
  <si>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</si>
  <si>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</si>
  <si>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</si>
  <si>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</si>
  <si>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</si>
  <si>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</si>
  <si>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</si>
  <si>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</si>
  <si>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</si>
  <si>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</si>
  <si>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</si>
  <si>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</si>
  <si>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</si>
  <si>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</si>
  <si>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</si>
  <si>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</si>
  <si>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</si>
  <si>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</si>
  <si>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</si>
  <si>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</si>
  <si>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</si>
  <si>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</si>
  <si>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</si>
  <si>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</si>
  <si>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</si>
  <si>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</si>
  <si>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</si>
  <si>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</si>
  <si>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</si>
  <si>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</si>
  <si>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</si>
  <si>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</si>
  <si>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</si>
  <si>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</si>
  <si>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</si>
  <si>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</si>
  <si>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</si>
  <si>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</si>
  <si>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</si>
  <si>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</si>
  <si>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</si>
  <si>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</si>
  <si>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</si>
  <si>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</si>
  <si>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</si>
  <si>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</si>
  <si>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</si>
  <si>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</si>
  <si>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</si>
  <si>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</si>
  <si>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</si>
  <si>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</si>
  <si>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</si>
  <si>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</si>
  <si>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</si>
  <si>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</si>
  <si>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</si>
  <si>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</si>
  <si>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</si>
  <si>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</si>
  <si>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</si>
  <si>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</si>
  <si>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</si>
  <si>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</si>
  <si>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</si>
  <si>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</si>
  <si>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</si>
  <si>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</si>
  <si>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</si>
  <si>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</si>
  <si>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</si>
  <si>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</si>
  <si>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</si>
  <si>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</si>
  <si>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</si>
  <si>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</si>
  <si>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</si>
  <si>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</si>
  <si>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</si>
  <si>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</si>
  <si>
    <t>710-860010472003</t>
  </si>
  <si>
    <t>81-GRM155R71H104KE4D</t>
  </si>
  <si>
    <t>710-885012007039</t>
  </si>
  <si>
    <t>1uF, X7R, 0805</t>
  </si>
  <si>
    <t>81-GRM155Z71A105KE1D</t>
  </si>
  <si>
    <t>80-C0805C102J5G</t>
  </si>
  <si>
    <t>187-CL21C222JBFNNNG</t>
  </si>
  <si>
    <t>81-GRM215C1H332JA01J</t>
  </si>
  <si>
    <t>81-GRM2165C2A152JA1D</t>
  </si>
  <si>
    <t>81-GCM2165C2A272JA6J</t>
  </si>
  <si>
    <t>187-CL32B106KBJNNNE</t>
  </si>
  <si>
    <t>81-GRM1555C1H470JA1D</t>
  </si>
  <si>
    <t>4,7nF, C0G, 0805</t>
  </si>
  <si>
    <t>667-ERA-6ARW102V</t>
  </si>
  <si>
    <t>81-GRM215C1H472JA01D</t>
  </si>
  <si>
    <t>791-RMC1/10-100JTP</t>
  </si>
  <si>
    <t>667-ERA-6AED103V</t>
  </si>
  <si>
    <t>667-ERA-6AHD390V</t>
  </si>
  <si>
    <t>10R, 0805</t>
  </si>
  <si>
    <t>39R, ERA, 0805</t>
  </si>
  <si>
    <t>4,7R, 0805</t>
  </si>
  <si>
    <t>667-ERA-6AEB472V</t>
  </si>
  <si>
    <t>4,7kR, ERA, 0805</t>
  </si>
  <si>
    <t>603-RC0805JR-074R7L</t>
  </si>
  <si>
    <t>667-ERA-6AEB473V</t>
  </si>
  <si>
    <t>47kR, ERA, 0805</t>
  </si>
  <si>
    <t>833-1N4148WX-TP</t>
  </si>
  <si>
    <t>1N4148, SOD-323</t>
  </si>
  <si>
    <t>504-STS321050B100</t>
  </si>
  <si>
    <t>TVS 5V, SOD-323</t>
  </si>
  <si>
    <t>80-EA2-12NU</t>
  </si>
  <si>
    <t>750-CPDT-12V</t>
  </si>
  <si>
    <t>TVS 12V, SOT23</t>
  </si>
  <si>
    <t>000617</t>
  </si>
  <si>
    <t>004212</t>
  </si>
  <si>
    <t>JST PH-3 con</t>
  </si>
  <si>
    <t>JST PH-3 cable</t>
  </si>
  <si>
    <t>JST PH-2 con</t>
  </si>
  <si>
    <t>JST PH-2 cable</t>
  </si>
  <si>
    <t>001657</t>
  </si>
  <si>
    <t>004214</t>
  </si>
  <si>
    <t>004176</t>
  </si>
  <si>
    <t>004204</t>
  </si>
  <si>
    <t>000529</t>
  </si>
  <si>
    <t>5,5mm jack 90deg</t>
  </si>
  <si>
    <t>Phoe 3.81mm-2 PCB</t>
  </si>
  <si>
    <t>Phoe 3.81mm-2 Term</t>
  </si>
  <si>
    <t>JST PH-6 con</t>
  </si>
  <si>
    <t>JST PH-6 to UI cable</t>
  </si>
  <si>
    <t>003164</t>
  </si>
  <si>
    <t>9492453</t>
  </si>
  <si>
    <t>002020</t>
  </si>
  <si>
    <t>JST XH-5 con+cable</t>
  </si>
  <si>
    <t>VU-LEDs</t>
  </si>
  <si>
    <t>000099</t>
  </si>
  <si>
    <t>Relays</t>
  </si>
  <si>
    <t>BC847</t>
  </si>
  <si>
    <t>BC857</t>
  </si>
  <si>
    <t>771-BC847C-T/R</t>
  </si>
  <si>
    <t>833-BC857B-TP</t>
  </si>
  <si>
    <t>22R, ERA, 0805</t>
  </si>
  <si>
    <t>667-ERA-6AEB821V</t>
  </si>
  <si>
    <t>820, ERA, 0805</t>
  </si>
  <si>
    <t>667-ERA-6ARB432V</t>
  </si>
  <si>
    <t>4,3k, ERA, 0805</t>
  </si>
  <si>
    <t>667-ERA-6AHD220V</t>
  </si>
  <si>
    <t>667-ERA-6AED272V</t>
  </si>
  <si>
    <t>2,7kR, ERA, 0805</t>
  </si>
  <si>
    <t>10kR, ERA, 0805 (4 ERA, 20std)</t>
  </si>
  <si>
    <t>1kR, ERA, 0805 (24 ERA, 17std)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</si>
</sst>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7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17" zoomScaleNormal="100" workbookViewId="0">
      <selection activeCell="F32" sqref="F32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2" t="s">
        <v>25</v>
      </c>
      <c r="B10" s="123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2" t="s">
        <v>32</v>
      </c>
      <c r="B12" s="123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4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5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6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0" t="s">
        <v>55</v>
      </c>
      <c r="B27" s="121"/>
      <c r="C27" s="121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163</v>
      </c>
      <c r="D29" s="76">
        <v>100</v>
      </c>
      <c r="E29" s="59" t="str">
        <f t="shared" ref="E29:E68" si="0">IF(ISBLANK(B29),"",(IF(ISBLANK($H$20),CONCATENATE($C$16," ",$C$15,""),$H$20)))</f>
        <v>Robin van den Dungen</v>
      </c>
      <c r="F29" s="74" t="s">
        <v>154</v>
      </c>
      <c r="G29" s="78"/>
      <c r="H29" s="79">
        <v>8.0000000000000002E-3</v>
      </c>
      <c r="I29" s="14">
        <f t="shared" ref="I29" si="1">IF(AND(ISNUMBER(G29),NOT(ISNUMBER(H29))),D29*(G29*1.21),IF(AND(ISNUMBER(H29),NOT(ISNUMBER(G29))),D29*H29,IF(AND(ISNUMBER(G29),ISNUMBER(H29)),"Ex or Inc VAT price", 0)))</f>
        <v>0.8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162</v>
      </c>
      <c r="D30" s="76">
        <v>50</v>
      </c>
      <c r="E30" s="59" t="str">
        <f t="shared" si="0"/>
        <v>Robin van den Dungen</v>
      </c>
      <c r="F30" s="74" t="s">
        <v>155</v>
      </c>
      <c r="G30" s="78" t="str">
        <f t="shared" ref="G30:G40" si="3">IF(ISBLANK(B30),"",$C$11)</f>
        <v>043800-11539-101</v>
      </c>
      <c r="H30" s="79">
        <v>0.08</v>
      </c>
      <c r="I30" s="14">
        <f t="shared" ref="I30:I52" si="4">IF(AND(ISNUMBER(G30),NOT(ISNUMBER(H30))),D30*(G30*1.21),IF(AND(ISNUMBER(H30),NOT(ISNUMBER(G30))),D30*H30,IF(AND(ISNUMBER(G30),ISNUMBER(H30)),"Ex or Inc VAT price", 0)))</f>
        <v>4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5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176</v>
      </c>
      <c r="D31" s="76">
        <v>4</v>
      </c>
      <c r="E31" s="59" t="str">
        <f t="shared" si="0"/>
        <v>Robin van den Dungen</v>
      </c>
      <c r="F31" s="74" t="s">
        <v>174</v>
      </c>
      <c r="G31" s="78" t="str">
        <f t="shared" si="3"/>
        <v>043800-11539-101</v>
      </c>
      <c r="H31" s="79">
        <v>0.16900000000000001</v>
      </c>
      <c r="I31" s="14">
        <f t="shared" si="4"/>
        <v>0.67600000000000005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5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75" t="s">
        <v>170</v>
      </c>
      <c r="D32" s="76">
        <v>10</v>
      </c>
      <c r="E32" s="59" t="str">
        <f t="shared" si="0"/>
        <v>Robin van den Dungen</v>
      </c>
      <c r="F32" s="74" t="s">
        <v>160</v>
      </c>
      <c r="G32" s="78" t="str">
        <f t="shared" si="3"/>
        <v>043800-11539-101</v>
      </c>
      <c r="H32" s="79">
        <v>4.2000000000000003E-2</v>
      </c>
      <c r="I32" s="14">
        <f t="shared" si="4"/>
        <v>0.42000000000000004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5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164</v>
      </c>
      <c r="D33" s="76">
        <v>15</v>
      </c>
      <c r="E33" s="59" t="str">
        <f t="shared" si="0"/>
        <v>Robin van den Dungen</v>
      </c>
      <c r="F33" s="74" t="s">
        <v>156</v>
      </c>
      <c r="G33" s="78" t="str">
        <f t="shared" si="3"/>
        <v>043800-11539-101</v>
      </c>
      <c r="H33" s="79">
        <v>7.0000000000000007E-2</v>
      </c>
      <c r="I33" s="14">
        <f t="shared" si="4"/>
        <v>1.05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5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80" t="s">
        <v>168</v>
      </c>
      <c r="D34" s="76">
        <v>10</v>
      </c>
      <c r="E34" s="59" t="str">
        <f t="shared" si="0"/>
        <v>Robin van den Dungen</v>
      </c>
      <c r="F34" s="74" t="s">
        <v>158</v>
      </c>
      <c r="G34" s="78" t="str">
        <f t="shared" si="3"/>
        <v>043800-11539-101</v>
      </c>
      <c r="H34" s="79">
        <v>7.9000000000000001E-2</v>
      </c>
      <c r="I34" s="14">
        <f t="shared" si="4"/>
        <v>0.79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5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167</v>
      </c>
      <c r="D35" s="76">
        <v>11</v>
      </c>
      <c r="E35" s="59" t="str">
        <f t="shared" si="0"/>
        <v>Robin van den Dungen</v>
      </c>
      <c r="F35" s="74" t="s">
        <v>157</v>
      </c>
      <c r="G35" s="78" t="str">
        <f t="shared" si="3"/>
        <v>043800-11539-101</v>
      </c>
      <c r="H35" s="79">
        <v>7.1999999999999995E-2</v>
      </c>
      <c r="I35" s="14">
        <f t="shared" si="4"/>
        <v>0.79199999999999993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5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171</v>
      </c>
      <c r="D36" s="76">
        <v>10</v>
      </c>
      <c r="E36" s="59" t="str">
        <f t="shared" si="0"/>
        <v>Robin van den Dungen</v>
      </c>
      <c r="F36" s="74" t="s">
        <v>161</v>
      </c>
      <c r="G36" s="78" t="str">
        <f t="shared" si="3"/>
        <v>043800-11539-101</v>
      </c>
      <c r="H36" s="79">
        <v>8.5999999999999993E-2</v>
      </c>
      <c r="I36" s="14">
        <f t="shared" si="4"/>
        <v>0.85999999999999988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5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166</v>
      </c>
      <c r="D37" s="76">
        <v>10</v>
      </c>
      <c r="E37" s="59" t="str">
        <f t="shared" si="0"/>
        <v>Robin van den Dungen</v>
      </c>
      <c r="F37" s="74" t="s">
        <v>165</v>
      </c>
      <c r="G37" s="78" t="str">
        <f t="shared" si="3"/>
        <v>043800-11539-101</v>
      </c>
      <c r="H37" s="79">
        <v>3.6999999999999998E-2</v>
      </c>
      <c r="I37" s="14">
        <f t="shared" si="4"/>
        <v>0.37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5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169</v>
      </c>
      <c r="D38" s="76">
        <v>10</v>
      </c>
      <c r="E38" s="59" t="str">
        <f t="shared" si="0"/>
        <v>Robin van den Dungen</v>
      </c>
      <c r="F38" s="74" t="s">
        <v>159</v>
      </c>
      <c r="G38" s="78" t="str">
        <f t="shared" si="3"/>
        <v>043800-11539-101</v>
      </c>
      <c r="H38" s="79">
        <v>9.2999999999999999E-2</v>
      </c>
      <c r="I38" s="14">
        <f t="shared" si="4"/>
        <v>0.92999999999999994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5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172</v>
      </c>
      <c r="D39" s="76">
        <v>4</v>
      </c>
      <c r="E39" s="59" t="str">
        <f t="shared" si="0"/>
        <v>Robin van den Dungen</v>
      </c>
      <c r="F39" s="74" t="s">
        <v>152</v>
      </c>
      <c r="G39" s="78" t="str">
        <f t="shared" si="3"/>
        <v>043800-11539-101</v>
      </c>
      <c r="H39" s="79">
        <v>0.50800000000000001</v>
      </c>
      <c r="I39" s="14">
        <f t="shared" si="4"/>
        <v>2.032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5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173</v>
      </c>
      <c r="D40" s="76">
        <v>10</v>
      </c>
      <c r="E40" s="59" t="str">
        <f t="shared" si="0"/>
        <v>Robin van den Dungen</v>
      </c>
      <c r="F40" s="74" t="s">
        <v>153</v>
      </c>
      <c r="G40" s="78" t="str">
        <f t="shared" si="3"/>
        <v>043800-11539-101</v>
      </c>
      <c r="H40" s="79">
        <v>1.9E-2</v>
      </c>
      <c r="I40" s="14">
        <f t="shared" si="4"/>
        <v>0.19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5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188</v>
      </c>
      <c r="D41" s="76">
        <v>12</v>
      </c>
      <c r="E41" s="59" t="str">
        <f t="shared" si="0"/>
        <v>Robin van den Dungen</v>
      </c>
      <c r="F41" s="77" t="s">
        <v>189</v>
      </c>
      <c r="G41" s="78" t="str">
        <f t="shared" ref="G41:G63" si="6">IF(ISBLANK(B41),"",$C$11)</f>
        <v>043800-11539-101</v>
      </c>
      <c r="H41" s="79">
        <v>8.5000000000000006E-2</v>
      </c>
      <c r="I41" s="14">
        <f t="shared" si="4"/>
        <v>1.02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5"/>
        <v>VOL</v>
      </c>
    </row>
    <row r="42" spans="1:21" x14ac:dyDescent="0.25">
      <c r="A42" s="73">
        <v>14</v>
      </c>
      <c r="B42" s="74" t="s">
        <v>74</v>
      </c>
      <c r="C42" s="75" t="s">
        <v>190</v>
      </c>
      <c r="D42" s="76">
        <v>3</v>
      </c>
      <c r="E42" s="59" t="str">
        <f t="shared" si="0"/>
        <v>Robin van den Dungen</v>
      </c>
      <c r="F42" s="77" t="s">
        <v>191</v>
      </c>
      <c r="G42" s="78" t="str">
        <f>IF(ISBLANK(B42),"",$C$11)</f>
        <v>043800-11539-101</v>
      </c>
      <c r="H42" s="79">
        <v>0.35699999999999998</v>
      </c>
      <c r="I42" s="14">
        <f t="shared" si="4"/>
        <v>1.071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5"/>
        <v>VOL</v>
      </c>
    </row>
    <row r="43" spans="1:21" x14ac:dyDescent="0.25">
      <c r="A43" s="73">
        <v>15</v>
      </c>
      <c r="B43" s="74" t="s">
        <v>74</v>
      </c>
      <c r="C43" s="117" t="s">
        <v>193</v>
      </c>
      <c r="D43" s="76">
        <v>3</v>
      </c>
      <c r="E43" s="59" t="str">
        <f t="shared" si="0"/>
        <v>Robin van den Dungen</v>
      </c>
      <c r="F43" s="77" t="s">
        <v>194</v>
      </c>
      <c r="G43" s="78"/>
      <c r="H43" s="79">
        <v>0.376</v>
      </c>
      <c r="I43" s="14">
        <f t="shared" si="4"/>
        <v>1.1280000000000001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5"/>
        <v>VOL</v>
      </c>
    </row>
    <row r="44" spans="1:21" x14ac:dyDescent="0.25">
      <c r="A44" s="73">
        <v>16</v>
      </c>
      <c r="B44" s="74" t="s">
        <v>14</v>
      </c>
      <c r="C44" s="119" t="s">
        <v>202</v>
      </c>
      <c r="D44" s="76">
        <v>8</v>
      </c>
      <c r="E44" s="59" t="str">
        <f t="shared" si="0"/>
        <v>Robin van den Dungen</v>
      </c>
      <c r="F44" s="77" t="s">
        <v>197</v>
      </c>
      <c r="G44" s="78"/>
      <c r="H44" s="79">
        <v>0.1</v>
      </c>
      <c r="I44" s="14">
        <f t="shared" si="4"/>
        <v>0.8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5"/>
        <v>VOL</v>
      </c>
    </row>
    <row r="45" spans="1:21" x14ac:dyDescent="0.25">
      <c r="A45" s="73">
        <v>17</v>
      </c>
      <c r="B45" s="74" t="s">
        <v>14</v>
      </c>
      <c r="C45" s="75" t="s">
        <v>195</v>
      </c>
      <c r="D45" s="76">
        <v>8</v>
      </c>
      <c r="E45" s="59" t="str">
        <f t="shared" si="0"/>
        <v>Robin van den Dungen</v>
      </c>
      <c r="F45" s="77" t="s">
        <v>198</v>
      </c>
      <c r="G45" s="78"/>
      <c r="H45" s="79">
        <v>1.24</v>
      </c>
      <c r="I45" s="14">
        <f t="shared" si="4"/>
        <v>9.92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5"/>
        <v>VOL</v>
      </c>
    </row>
    <row r="46" spans="1:21" x14ac:dyDescent="0.25">
      <c r="A46" s="73">
        <v>18</v>
      </c>
      <c r="B46" s="74" t="s">
        <v>14</v>
      </c>
      <c r="C46" s="117" t="s">
        <v>196</v>
      </c>
      <c r="D46" s="76">
        <v>6</v>
      </c>
      <c r="E46" s="59" t="str">
        <f t="shared" si="0"/>
        <v>Robin van den Dungen</v>
      </c>
      <c r="F46" s="77" t="s">
        <v>199</v>
      </c>
      <c r="G46" s="78"/>
      <c r="H46" s="79">
        <v>0.08</v>
      </c>
      <c r="I46" s="14">
        <f t="shared" si="4"/>
        <v>0.48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 t="shared" si="5"/>
        <v>VOL</v>
      </c>
    </row>
    <row r="47" spans="1:21" x14ac:dyDescent="0.25">
      <c r="A47" s="73">
        <v>19</v>
      </c>
      <c r="B47" s="74" t="s">
        <v>14</v>
      </c>
      <c r="C47" s="75" t="s">
        <v>201</v>
      </c>
      <c r="D47" s="76">
        <v>6</v>
      </c>
      <c r="E47" s="59" t="str">
        <f t="shared" si="0"/>
        <v>Robin van den Dungen</v>
      </c>
      <c r="F47" s="77" t="s">
        <v>200</v>
      </c>
      <c r="G47" s="78"/>
      <c r="H47" s="79">
        <v>0.33</v>
      </c>
      <c r="I47" s="14">
        <f t="shared" si="4"/>
        <v>1.98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5"/>
        <v>VOL</v>
      </c>
    </row>
    <row r="48" spans="1:21" x14ac:dyDescent="0.25">
      <c r="A48" s="73">
        <v>20</v>
      </c>
      <c r="B48" s="74" t="s">
        <v>14</v>
      </c>
      <c r="C48" s="75" t="s">
        <v>203</v>
      </c>
      <c r="D48" s="76">
        <v>2</v>
      </c>
      <c r="E48" s="59" t="str">
        <f t="shared" si="0"/>
        <v>Robin van den Dungen</v>
      </c>
      <c r="F48" s="77" t="s">
        <v>207</v>
      </c>
      <c r="G48" s="78"/>
      <c r="H48" s="79">
        <v>0.33</v>
      </c>
      <c r="I48" s="14">
        <f t="shared" si="4"/>
        <v>0.66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5"/>
        <v>VOL</v>
      </c>
    </row>
    <row r="49" spans="1:18" x14ac:dyDescent="0.25">
      <c r="A49" s="73">
        <v>21</v>
      </c>
      <c r="B49" s="74" t="s">
        <v>14</v>
      </c>
      <c r="C49" s="75" t="s">
        <v>204</v>
      </c>
      <c r="D49" s="76">
        <v>2</v>
      </c>
      <c r="E49" s="59" t="str">
        <f t="shared" si="0"/>
        <v>Robin van den Dungen</v>
      </c>
      <c r="F49" s="77" t="s">
        <v>208</v>
      </c>
      <c r="G49" s="78"/>
      <c r="H49" s="79">
        <v>0.54</v>
      </c>
      <c r="I49" s="14">
        <f t="shared" si="4"/>
        <v>1.08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 t="shared" si="5"/>
        <v>VOL</v>
      </c>
    </row>
    <row r="50" spans="1:18" x14ac:dyDescent="0.25">
      <c r="A50" s="73">
        <v>22</v>
      </c>
      <c r="B50" s="74" t="s">
        <v>14</v>
      </c>
      <c r="C50" s="75" t="s">
        <v>205</v>
      </c>
      <c r="D50" s="76">
        <v>1</v>
      </c>
      <c r="E50" s="59" t="str">
        <f t="shared" si="0"/>
        <v>Robin van den Dungen</v>
      </c>
      <c r="F50" s="118" t="s">
        <v>206</v>
      </c>
      <c r="G50" s="78"/>
      <c r="H50" s="79">
        <v>0.41</v>
      </c>
      <c r="I50" s="14">
        <f t="shared" si="4"/>
        <v>0.41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0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0" s="7" t="b">
        <f>IF(OR(tableOrderlist[[#This Row],[Totale prijs]]=0,NOT(ISNUMBER(tableOrderlist[[#This Row],[Totale prijs]]))),TRUE,FALSE)</f>
        <v>0</v>
      </c>
      <c r="Q50" s="7" t="b">
        <f>+ISBLANK(tableOrderlist[[#This Row],[Aanvrager]])</f>
        <v>0</v>
      </c>
      <c r="R50" s="7" t="str">
        <f t="shared" si="5"/>
        <v>VOL</v>
      </c>
    </row>
    <row r="51" spans="1:18" x14ac:dyDescent="0.25">
      <c r="A51" s="73">
        <v>23</v>
      </c>
      <c r="B51" s="74" t="s">
        <v>8</v>
      </c>
      <c r="C51" s="75" t="s">
        <v>212</v>
      </c>
      <c r="D51" s="76">
        <v>1</v>
      </c>
      <c r="E51" s="59" t="str">
        <f t="shared" si="0"/>
        <v>Robin van den Dungen</v>
      </c>
      <c r="F51" s="77" t="s">
        <v>209</v>
      </c>
      <c r="G51" s="78"/>
      <c r="H51" s="79">
        <v>0.17</v>
      </c>
      <c r="I51" s="14">
        <f t="shared" si="4"/>
        <v>0.17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1" s="7" t="b">
        <f>+ISBLANK(tableOrderlist[[#This Row],[Leverancier]])</f>
        <v>0</v>
      </c>
      <c r="L51" s="7" t="b">
        <f>ISBLANK(tableOrderlist[[#This Row],[Artikel code]])</f>
        <v>0</v>
      </c>
      <c r="M51" s="7" t="b">
        <f>ISBLANK(tableOrderlist[[#This Row],[Hoeveelheid]])</f>
        <v>0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1" s="7" t="b">
        <f>IF(OR(tableOrderlist[[#This Row],[Totale prijs]]=0,NOT(ISNUMBER(tableOrderlist[[#This Row],[Totale prijs]]))),TRUE,FALSE)</f>
        <v>0</v>
      </c>
      <c r="Q51" s="7" t="b">
        <f>+ISBLANK(tableOrderlist[[#This Row],[Aanvrager]])</f>
        <v>0</v>
      </c>
      <c r="R51" s="7" t="str">
        <f t="shared" si="5"/>
        <v>VOL</v>
      </c>
    </row>
    <row r="52" spans="1:18" x14ac:dyDescent="0.25">
      <c r="A52" s="73">
        <v>24</v>
      </c>
      <c r="B52" s="74" t="s">
        <v>14</v>
      </c>
      <c r="C52" s="75" t="s">
        <v>211</v>
      </c>
      <c r="D52" s="76">
        <v>1</v>
      </c>
      <c r="E52" s="59" t="str">
        <f t="shared" si="0"/>
        <v>Robin van den Dungen</v>
      </c>
      <c r="F52" s="77" t="s">
        <v>210</v>
      </c>
      <c r="G52" s="78"/>
      <c r="H52" s="79">
        <v>1.65</v>
      </c>
      <c r="I52" s="14">
        <f t="shared" si="4"/>
        <v>1.65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2" s="7" t="b">
        <f>+ISBLANK(tableOrderlist[[#This Row],[Leverancier]])</f>
        <v>0</v>
      </c>
      <c r="L52" s="7" t="b">
        <f>ISBLANK(tableOrderlist[[#This Row],[Artikel code]])</f>
        <v>0</v>
      </c>
      <c r="M52" s="7" t="b">
        <f>ISBLANK(tableOrderlist[[#This Row],[Hoeveelheid]])</f>
        <v>0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2" s="7" t="b">
        <f>IF(OR(tableOrderlist[[#This Row],[Totale prijs]]=0,NOT(ISNUMBER(tableOrderlist[[#This Row],[Totale prijs]]))),TRUE,FALSE)</f>
        <v>0</v>
      </c>
      <c r="Q52" s="7" t="b">
        <f>+ISBLANK(tableOrderlist[[#This Row],[Aanvrager]])</f>
        <v>0</v>
      </c>
      <c r="R52" s="7" t="str">
        <f t="shared" si="5"/>
        <v>VOL</v>
      </c>
    </row>
    <row r="53" spans="1:18" x14ac:dyDescent="0.25">
      <c r="A53" s="73">
        <v>25</v>
      </c>
      <c r="B53" s="74" t="s">
        <v>14</v>
      </c>
      <c r="C53" s="75" t="s">
        <v>213</v>
      </c>
      <c r="D53" s="76">
        <v>5</v>
      </c>
      <c r="E53" s="59" t="str">
        <f t="shared" si="0"/>
        <v>Robin van den Dungen</v>
      </c>
      <c r="F53" s="77" t="s">
        <v>214</v>
      </c>
      <c r="G53" s="78" t="str">
        <f t="shared" si="6"/>
        <v>043800-11539-101</v>
      </c>
      <c r="H53" s="79">
        <v>0.74</v>
      </c>
      <c r="I53" s="14">
        <f t="shared" ref="I53:I68" si="7">IF(AND(ISNUMBER(G53),NOT(ISNUMBER(H53))),D53*(G53*1.21),IF(AND(ISNUMBER(H53),NOT(ISNUMBER(G53))),D53*H53,IF(AND(ISNUMBER(G53),ISNUMBER(H53)),"Ex or Inc VAT price", 0)))</f>
        <v>3.7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3" s="7" t="b">
        <f>+ISBLANK(tableOrderlist[[#This Row],[Leverancier]])</f>
        <v>0</v>
      </c>
      <c r="L53" s="7" t="b">
        <f>ISBLANK(tableOrderlist[[#This Row],[Artikel code]])</f>
        <v>0</v>
      </c>
      <c r="M53" s="7" t="b">
        <f>ISBLANK(tableOrderlist[[#This Row],[Hoeveelheid]])</f>
        <v>0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0</v>
      </c>
      <c r="Q53" s="7" t="b">
        <f>+ISBLANK(tableOrderlist[[#This Row],[Aanvrager]])</f>
        <v>0</v>
      </c>
      <c r="R53" s="7" t="str">
        <f t="shared" ref="R53:R68" si="8">IF(AND(B53="",C53="",D53="",F53="",H53=""),"LEEG",IF(AND(B53&lt;&gt;"",C53&lt;&gt;"",D53&lt;&gt;"",F53&lt;&gt;"",H53&lt;&gt;""),"VOL","NIET COMPLEET"))</f>
        <v>VOL</v>
      </c>
    </row>
    <row r="54" spans="1:18" x14ac:dyDescent="0.25">
      <c r="A54" s="73">
        <v>26</v>
      </c>
      <c r="B54" s="74" t="s">
        <v>14</v>
      </c>
      <c r="C54" s="75" t="s">
        <v>216</v>
      </c>
      <c r="D54" s="76">
        <v>1</v>
      </c>
      <c r="E54" s="59" t="str">
        <f t="shared" si="0"/>
        <v>Robin van den Dungen</v>
      </c>
      <c r="F54" s="77" t="s">
        <v>215</v>
      </c>
      <c r="G54" s="78" t="str">
        <f t="shared" si="6"/>
        <v>043800-11539-101</v>
      </c>
      <c r="H54" s="79">
        <v>1.65</v>
      </c>
      <c r="I54" s="14">
        <f t="shared" si="7"/>
        <v>1.65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4" s="7" t="b">
        <f>+ISBLANK(tableOrderlist[[#This Row],[Leverancier]])</f>
        <v>0</v>
      </c>
      <c r="L54" s="7" t="b">
        <f>ISBLANK(tableOrderlist[[#This Row],[Artikel code]])</f>
        <v>0</v>
      </c>
      <c r="M54" s="7" t="b">
        <f>ISBLANK(tableOrderlist[[#This Row],[Hoeveelheid]])</f>
        <v>0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4" s="7" t="b">
        <f>IF(OR(tableOrderlist[[#This Row],[Totale prijs]]=0,NOT(ISNUMBER(tableOrderlist[[#This Row],[Totale prijs]]))),TRUE,FALSE)</f>
        <v>0</v>
      </c>
      <c r="Q54" s="7" t="b">
        <f>+ISBLANK(tableOrderlist[[#This Row],[Aanvrager]])</f>
        <v>0</v>
      </c>
      <c r="R54" s="7" t="str">
        <f t="shared" si="8"/>
        <v>VOL</v>
      </c>
    </row>
    <row r="55" spans="1:18" x14ac:dyDescent="0.25">
      <c r="A55" s="73">
        <v>27</v>
      </c>
      <c r="B55" s="74" t="s">
        <v>74</v>
      </c>
      <c r="C55" s="80" t="s">
        <v>192</v>
      </c>
      <c r="D55" s="76">
        <v>2</v>
      </c>
      <c r="E55" s="59" t="str">
        <f t="shared" si="0"/>
        <v>Robin van den Dungen</v>
      </c>
      <c r="F55" s="74" t="s">
        <v>217</v>
      </c>
      <c r="G55" s="78" t="str">
        <f t="shared" si="6"/>
        <v>043800-11539-101</v>
      </c>
      <c r="H55" s="79">
        <v>2.4900000000000002</v>
      </c>
      <c r="I55" s="14">
        <f t="shared" si="7"/>
        <v>4.9800000000000004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0</v>
      </c>
      <c r="L55" s="7" t="b">
        <f>ISBLANK(tableOrderlist[[#This Row],[Artikel code]])</f>
        <v>0</v>
      </c>
      <c r="M55" s="7" t="b">
        <f>ISBLANK(tableOrderlist[[#This Row],[Hoeveelheid]])</f>
        <v>0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0</v>
      </c>
      <c r="Q55" s="7" t="b">
        <f>+ISBLANK(tableOrderlist[[#This Row],[Aanvrager]])</f>
        <v>0</v>
      </c>
      <c r="R55" s="7" t="str">
        <f t="shared" si="8"/>
        <v>VOL</v>
      </c>
    </row>
    <row r="56" spans="1:18" x14ac:dyDescent="0.25">
      <c r="A56" s="73">
        <v>28</v>
      </c>
      <c r="B56" s="74" t="s">
        <v>74</v>
      </c>
      <c r="C56" s="80" t="s">
        <v>220</v>
      </c>
      <c r="D56" s="76">
        <v>3</v>
      </c>
      <c r="E56" s="59" t="str">
        <f t="shared" si="0"/>
        <v>Robin van den Dungen</v>
      </c>
      <c r="F56" s="74" t="s">
        <v>218</v>
      </c>
      <c r="G56" s="78" t="str">
        <f t="shared" si="6"/>
        <v>043800-11539-101</v>
      </c>
      <c r="H56" s="79">
        <v>0.13200000000000001</v>
      </c>
      <c r="I56" s="14">
        <f t="shared" si="7"/>
        <v>0.39600000000000002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0</v>
      </c>
      <c r="L56" s="7" t="b">
        <f>ISBLANK(tableOrderlist[[#This Row],[Artikel code]])</f>
        <v>0</v>
      </c>
      <c r="M56" s="7" t="b">
        <f>ISBLANK(tableOrderlist[[#This Row],[Hoeveelheid]])</f>
        <v>0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0</v>
      </c>
      <c r="Q56" s="7" t="b">
        <f>+ISBLANK(tableOrderlist[[#This Row],[Aanvrager]])</f>
        <v>0</v>
      </c>
      <c r="R56" s="7" t="str">
        <f t="shared" si="8"/>
        <v>VOL</v>
      </c>
    </row>
    <row r="57" spans="1:18" x14ac:dyDescent="0.25">
      <c r="A57" s="73">
        <v>29</v>
      </c>
      <c r="B57" s="74" t="s">
        <v>74</v>
      </c>
      <c r="C57" s="80" t="s">
        <v>221</v>
      </c>
      <c r="D57" s="76">
        <v>1</v>
      </c>
      <c r="E57" s="59" t="str">
        <f t="shared" si="0"/>
        <v>Robin van den Dungen</v>
      </c>
      <c r="F57" s="74" t="s">
        <v>219</v>
      </c>
      <c r="G57" s="78" t="str">
        <f t="shared" si="6"/>
        <v>043800-11539-101</v>
      </c>
      <c r="H57" s="79">
        <v>0.16900000000000001</v>
      </c>
      <c r="I57" s="14">
        <f t="shared" si="7"/>
        <v>0.16900000000000001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0</v>
      </c>
      <c r="L57" s="7" t="b">
        <f>ISBLANK(tableOrderlist[[#This Row],[Artikel code]])</f>
        <v>0</v>
      </c>
      <c r="M57" s="7" t="b">
        <f>ISBLANK(tableOrderlist[[#This Row],[Hoeveelheid]])</f>
        <v>0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0</v>
      </c>
      <c r="Q57" s="7" t="b">
        <f>+ISBLANK(tableOrderlist[[#This Row],[Aanvrager]])</f>
        <v>0</v>
      </c>
      <c r="R57" s="7" t="str">
        <f t="shared" si="8"/>
        <v>VOL</v>
      </c>
    </row>
    <row r="58" spans="1:18" x14ac:dyDescent="0.25">
      <c r="A58" s="73">
        <v>30</v>
      </c>
      <c r="B58" s="74" t="s">
        <v>74</v>
      </c>
      <c r="C58" s="80" t="s">
        <v>177</v>
      </c>
      <c r="D58" s="76">
        <v>40</v>
      </c>
      <c r="E58" s="59" t="str">
        <f t="shared" si="0"/>
        <v>Robin van den Dungen</v>
      </c>
      <c r="F58" s="74" t="s">
        <v>180</v>
      </c>
      <c r="G58" s="78" t="str">
        <f t="shared" si="6"/>
        <v>043800-11539-101</v>
      </c>
      <c r="H58" s="79">
        <v>2.1000000000000001E-2</v>
      </c>
      <c r="I58" s="14">
        <f t="shared" si="7"/>
        <v>0.84000000000000008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0</v>
      </c>
      <c r="L58" s="7" t="b">
        <f>ISBLANK(tableOrderlist[[#This Row],[Artikel code]])</f>
        <v>0</v>
      </c>
      <c r="M58" s="7" t="b">
        <f>ISBLANK(tableOrderlist[[#This Row],[Hoeveelheid]])</f>
        <v>0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0</v>
      </c>
      <c r="Q58" s="7" t="b">
        <f>+ISBLANK(tableOrderlist[[#This Row],[Aanvrager]])</f>
        <v>0</v>
      </c>
      <c r="R58" s="7" t="str">
        <f t="shared" si="8"/>
        <v>VOL</v>
      </c>
    </row>
    <row r="59" spans="1:18" x14ac:dyDescent="0.25">
      <c r="A59" s="73">
        <v>31</v>
      </c>
      <c r="B59" s="74" t="s">
        <v>74</v>
      </c>
      <c r="C59" s="80" t="s">
        <v>185</v>
      </c>
      <c r="D59" s="76">
        <v>10</v>
      </c>
      <c r="E59" s="59" t="str">
        <f t="shared" si="0"/>
        <v>Robin van den Dungen</v>
      </c>
      <c r="F59" s="74" t="s">
        <v>182</v>
      </c>
      <c r="G59" s="78" t="str">
        <f t="shared" si="6"/>
        <v>043800-11539-101</v>
      </c>
      <c r="H59" s="79">
        <v>3.4000000000000002E-2</v>
      </c>
      <c r="I59" s="14">
        <f t="shared" si="7"/>
        <v>0.34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0</v>
      </c>
      <c r="L59" s="7" t="b">
        <f>ISBLANK(tableOrderlist[[#This Row],[Artikel code]])</f>
        <v>0</v>
      </c>
      <c r="M59" s="7" t="b">
        <f>ISBLANK(tableOrderlist[[#This Row],[Hoeveelheid]])</f>
        <v>0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0</v>
      </c>
      <c r="Q59" s="7" t="b">
        <f>+ISBLANK(tableOrderlist[[#This Row],[Aanvrager]])</f>
        <v>0</v>
      </c>
      <c r="R59" s="7" t="str">
        <f t="shared" si="8"/>
        <v>VOL</v>
      </c>
    </row>
    <row r="60" spans="1:18" x14ac:dyDescent="0.25">
      <c r="A60" s="73">
        <v>32</v>
      </c>
      <c r="B60" s="74" t="s">
        <v>74</v>
      </c>
      <c r="C60" s="80" t="s">
        <v>178</v>
      </c>
      <c r="D60" s="76">
        <v>5</v>
      </c>
      <c r="E60" s="59" t="str">
        <f t="shared" si="0"/>
        <v>Robin van den Dungen</v>
      </c>
      <c r="F60" s="74" t="s">
        <v>230</v>
      </c>
      <c r="G60" s="78" t="str">
        <f t="shared" si="6"/>
        <v>043800-11539-101</v>
      </c>
      <c r="H60" s="79">
        <v>0.154</v>
      </c>
      <c r="I60" s="14">
        <f t="shared" si="7"/>
        <v>0.77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0</v>
      </c>
      <c r="L60" s="7" t="b">
        <f>ISBLANK(tableOrderlist[[#This Row],[Artikel code]])</f>
        <v>0</v>
      </c>
      <c r="M60" s="7" t="b">
        <f>ISBLANK(tableOrderlist[[#This Row],[Hoeveelheid]])</f>
        <v>0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0</v>
      </c>
      <c r="Q60" s="7" t="b">
        <f>+ISBLANK(tableOrderlist[[#This Row],[Aanvrager]])</f>
        <v>0</v>
      </c>
      <c r="R60" s="7" t="str">
        <f t="shared" si="8"/>
        <v>VOL</v>
      </c>
    </row>
    <row r="61" spans="1:18" x14ac:dyDescent="0.25">
      <c r="A61" s="73">
        <v>33</v>
      </c>
      <c r="B61" s="74" t="s">
        <v>74</v>
      </c>
      <c r="C61" s="80" t="s">
        <v>175</v>
      </c>
      <c r="D61" s="76">
        <v>25</v>
      </c>
      <c r="E61" s="59" t="str">
        <f t="shared" si="0"/>
        <v>Robin van den Dungen</v>
      </c>
      <c r="F61" s="74" t="s">
        <v>231</v>
      </c>
      <c r="G61" s="78" t="str">
        <f t="shared" si="6"/>
        <v>043800-11539-101</v>
      </c>
      <c r="H61" s="79">
        <v>0.61599999999999999</v>
      </c>
      <c r="I61" s="14">
        <f t="shared" si="7"/>
        <v>15.4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0</v>
      </c>
      <c r="L61" s="7" t="b">
        <f>ISBLANK(tableOrderlist[[#This Row],[Artikel code]])</f>
        <v>0</v>
      </c>
      <c r="M61" s="7" t="b">
        <f>ISBLANK(tableOrderlist[[#This Row],[Hoeveelheid]])</f>
        <v>0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0</v>
      </c>
      <c r="Q61" s="7" t="b">
        <f>+ISBLANK(tableOrderlist[[#This Row],[Aanvrager]])</f>
        <v>0</v>
      </c>
      <c r="R61" s="7" t="str">
        <f t="shared" si="8"/>
        <v>VOL</v>
      </c>
    </row>
    <row r="62" spans="1:18" x14ac:dyDescent="0.25">
      <c r="A62" s="73">
        <v>34</v>
      </c>
      <c r="B62" s="74" t="s">
        <v>74</v>
      </c>
      <c r="C62" s="80" t="s">
        <v>183</v>
      </c>
      <c r="D62" s="76">
        <v>14</v>
      </c>
      <c r="E62" s="59" t="str">
        <f t="shared" si="0"/>
        <v>Robin van den Dungen</v>
      </c>
      <c r="F62" s="74" t="s">
        <v>184</v>
      </c>
      <c r="G62" s="78" t="str">
        <f t="shared" si="6"/>
        <v>043800-11539-101</v>
      </c>
      <c r="H62" s="79">
        <v>0.22600000000000001</v>
      </c>
      <c r="I62" s="14">
        <f t="shared" si="7"/>
        <v>3.1640000000000001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0</v>
      </c>
      <c r="L62" s="7" t="b">
        <f>ISBLANK(tableOrderlist[[#This Row],[Artikel code]])</f>
        <v>0</v>
      </c>
      <c r="M62" s="7" t="b">
        <f>ISBLANK(tableOrderlist[[#This Row],[Hoeveelheid]])</f>
        <v>0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0</v>
      </c>
      <c r="Q62" s="7" t="b">
        <f>+ISBLANK(tableOrderlist[[#This Row],[Aanvrager]])</f>
        <v>0</v>
      </c>
      <c r="R62" s="7" t="str">
        <f t="shared" si="8"/>
        <v>VOL</v>
      </c>
    </row>
    <row r="63" spans="1:18" x14ac:dyDescent="0.25">
      <c r="A63" s="73">
        <v>35</v>
      </c>
      <c r="B63" s="74" t="s">
        <v>74</v>
      </c>
      <c r="C63" s="80" t="s">
        <v>223</v>
      </c>
      <c r="D63" s="76">
        <v>5</v>
      </c>
      <c r="E63" s="59" t="str">
        <f t="shared" si="0"/>
        <v>Robin van den Dungen</v>
      </c>
      <c r="F63" s="74" t="s">
        <v>224</v>
      </c>
      <c r="G63" s="78" t="str">
        <f t="shared" si="6"/>
        <v>043800-11539-101</v>
      </c>
      <c r="H63" s="79">
        <v>0.34799999999999998</v>
      </c>
      <c r="I63" s="14">
        <f t="shared" si="7"/>
        <v>1.7399999999999998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0</v>
      </c>
      <c r="L63" s="7" t="b">
        <f>ISBLANK(tableOrderlist[[#This Row],[Artikel code]])</f>
        <v>0</v>
      </c>
      <c r="M63" s="7" t="b">
        <f>ISBLANK(tableOrderlist[[#This Row],[Hoeveelheid]])</f>
        <v>0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0</v>
      </c>
      <c r="Q63" s="7" t="b">
        <f>+ISBLANK(tableOrderlist[[#This Row],[Aanvrager]])</f>
        <v>0</v>
      </c>
      <c r="R63" s="7" t="str">
        <f t="shared" si="8"/>
        <v>VOL</v>
      </c>
    </row>
    <row r="64" spans="1:18" x14ac:dyDescent="0.25">
      <c r="A64" s="73">
        <v>36</v>
      </c>
      <c r="B64" s="74" t="s">
        <v>74</v>
      </c>
      <c r="C64" s="80" t="s">
        <v>225</v>
      </c>
      <c r="D64" s="76">
        <v>5</v>
      </c>
      <c r="E64" s="59" t="str">
        <f t="shared" si="0"/>
        <v>Robin van den Dungen</v>
      </c>
      <c r="F64" s="74" t="s">
        <v>226</v>
      </c>
      <c r="G64" s="78"/>
      <c r="H64" s="79">
        <v>0.65800000000000003</v>
      </c>
      <c r="I64" s="14">
        <f t="shared" si="7"/>
        <v>3.29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0</v>
      </c>
      <c r="L64" s="7" t="b">
        <f>ISBLANK(tableOrderlist[[#This Row],[Artikel code]])</f>
        <v>0</v>
      </c>
      <c r="M64" s="7" t="b">
        <f>ISBLANK(tableOrderlist[[#This Row],[Hoeveelheid]])</f>
        <v>0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0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VOL</v>
      </c>
    </row>
    <row r="65" spans="1:18" x14ac:dyDescent="0.25">
      <c r="A65" s="73">
        <v>37</v>
      </c>
      <c r="B65" s="74" t="s">
        <v>74</v>
      </c>
      <c r="C65" s="80" t="s">
        <v>227</v>
      </c>
      <c r="D65" s="76">
        <v>3</v>
      </c>
      <c r="E65" s="59" t="str">
        <f t="shared" si="0"/>
        <v>Robin van den Dungen</v>
      </c>
      <c r="F65" s="74" t="s">
        <v>222</v>
      </c>
      <c r="G65" s="78"/>
      <c r="H65" s="79">
        <v>0.39500000000000002</v>
      </c>
      <c r="I65" s="14">
        <f t="shared" si="7"/>
        <v>1.1850000000000001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0</v>
      </c>
      <c r="L65" s="7" t="b">
        <f>ISBLANK(tableOrderlist[[#This Row],[Artikel code]])</f>
        <v>0</v>
      </c>
      <c r="M65" s="7" t="b">
        <f>ISBLANK(tableOrderlist[[#This Row],[Hoeveelheid]])</f>
        <v>0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0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VOL</v>
      </c>
    </row>
    <row r="66" spans="1:18" x14ac:dyDescent="0.25">
      <c r="A66" s="73">
        <v>38</v>
      </c>
      <c r="B66" s="74" t="s">
        <v>74</v>
      </c>
      <c r="C66" s="80" t="s">
        <v>179</v>
      </c>
      <c r="D66" s="76">
        <v>21</v>
      </c>
      <c r="E66" s="59" t="str">
        <f t="shared" si="0"/>
        <v>Robin van den Dungen</v>
      </c>
      <c r="F66" s="74" t="s">
        <v>181</v>
      </c>
      <c r="G66" s="78"/>
      <c r="H66" s="79">
        <v>0.16900000000000001</v>
      </c>
      <c r="I66" s="14">
        <f t="shared" si="7"/>
        <v>3.5490000000000004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0</v>
      </c>
      <c r="L66" s="7" t="b">
        <f>ISBLANK(tableOrderlist[[#This Row],[Artikel code]])</f>
        <v>0</v>
      </c>
      <c r="M66" s="7" t="b">
        <f>ISBLANK(tableOrderlist[[#This Row],[Hoeveelheid]])</f>
        <v>0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0</v>
      </c>
      <c r="Q66" s="7" t="b">
        <f>+ISBLANK(tableOrderlist[[#This Row],[Aanvrager]])</f>
        <v>0</v>
      </c>
      <c r="R66" s="7" t="str">
        <f t="shared" si="8"/>
        <v>VOL</v>
      </c>
    </row>
    <row r="67" spans="1:18" x14ac:dyDescent="0.25">
      <c r="A67" s="73">
        <v>39</v>
      </c>
      <c r="B67" s="74" t="s">
        <v>74</v>
      </c>
      <c r="C67" s="80" t="s">
        <v>228</v>
      </c>
      <c r="D67" s="76">
        <v>10</v>
      </c>
      <c r="E67" s="59" t="str">
        <f t="shared" si="0"/>
        <v>Robin van den Dungen</v>
      </c>
      <c r="F67" s="74" t="s">
        <v>229</v>
      </c>
      <c r="G67" s="78"/>
      <c r="H67" s="79">
        <v>0.16900000000000001</v>
      </c>
      <c r="I67" s="14">
        <f t="shared" si="7"/>
        <v>1.6900000000000002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0</v>
      </c>
      <c r="L67" s="7" t="b">
        <f>ISBLANK(tableOrderlist[[#This Row],[Artikel code]])</f>
        <v>0</v>
      </c>
      <c r="M67" s="7" t="b">
        <f>ISBLANK(tableOrderlist[[#This Row],[Hoeveelheid]])</f>
        <v>0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0</v>
      </c>
      <c r="Q67" s="7" t="b">
        <f>+ISBLANK(tableOrderlist[[#This Row],[Aanvrager]])</f>
        <v>0</v>
      </c>
      <c r="R67" s="7" t="str">
        <f t="shared" si="8"/>
        <v>VOL</v>
      </c>
    </row>
    <row r="68" spans="1:18" x14ac:dyDescent="0.25">
      <c r="A68" s="73">
        <v>40</v>
      </c>
      <c r="B68" s="74" t="s">
        <v>74</v>
      </c>
      <c r="C68" s="80" t="s">
        <v>186</v>
      </c>
      <c r="D68" s="76">
        <v>10</v>
      </c>
      <c r="E68" s="59" t="str">
        <f t="shared" si="0"/>
        <v>Robin van den Dungen</v>
      </c>
      <c r="F68" s="74" t="s">
        <v>187</v>
      </c>
      <c r="G68" s="78"/>
      <c r="H68" s="79">
        <v>0.14899999999999999</v>
      </c>
      <c r="I68" s="14">
        <f t="shared" si="7"/>
        <v>1.49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0</v>
      </c>
      <c r="L68" s="7" t="b">
        <f>ISBLANK(tableOrderlist[[#This Row],[Artikel code]])</f>
        <v>0</v>
      </c>
      <c r="M68" s="7" t="b">
        <f>ISBLANK(tableOrderlist[[#This Row],[Hoeveelheid]])</f>
        <v>0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0</v>
      </c>
      <c r="Q68" s="7" t="b">
        <f>+ISBLANK(tableOrderlist[[#This Row],[Aanvrager]])</f>
        <v>0</v>
      </c>
      <c r="R68" s="7" t="str">
        <f t="shared" si="8"/>
        <v>VOL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77.632000000000019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93.934720000000027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9to5/AB2oZF2wIEROrOUJstwX9HOZXi2vAN+GkclHsJJd9yHOA9JwGDOQOBpsNWtB5R+MbsKpuVvn2VR2QLJpA==" saltValue="cJWAAFTP1yglyEl7LuPQoQ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ws9MAZliHjPWwunrrjw+ci7omEvIJApufTJ/W4Kqr0D5Fu4jOotPiS/uhgZiikGxvCLwweDU+bNbHOvDP9g1aw==" saltValue="8651ml8ND/3FgA8IwKUOh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Props1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2023-06-14T10:30:56Z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