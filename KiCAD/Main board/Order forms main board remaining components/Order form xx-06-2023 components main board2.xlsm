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577" documentId="13_ncr:1_{C6327837-2878-4E88-9722-0743A9B87D1F}" xr6:coauthVersionLast="47" xr6:coauthVersionMax="47" xr10:uidLastSave="{944042DA-2DE7-4AA1-96D2-3465503598B6}"/>
  <workbookProtection workbookAlgorithmName="SHA-512" workbookHashValue="euyiUZGyQWOFuhZIQPI0tqRPgVx+QB5hB6RJhrRzhriFj9wOJ/5gV+TxbVt5n8AXvOWTgm94DolC1EQZOERjbQ==" workbookSaltValue="rJ8Sx+VulsW0fF50YVz+SA==" workbookSpinCount="100000" lockStructure="1"/>
  <bookViews>
    <workbookView xWindow="11424" yWindow="0" windowWidth="11712" windowHeight="1233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I63" i="1"/>
  <c r="P63" i="1" s="1"/>
  <c r="Q63" i="1"/>
  <c r="R62" i="1"/>
  <c r="M62" i="1"/>
  <c r="L62" i="1"/>
  <c r="K62" i="1"/>
  <c r="N62" i="1"/>
  <c r="Q62" i="1"/>
  <c r="R61" i="1"/>
  <c r="M61" i="1"/>
  <c r="L61" i="1"/>
  <c r="K61" i="1"/>
  <c r="N61" i="1"/>
  <c r="Q61" i="1"/>
  <c r="R60" i="1"/>
  <c r="M60" i="1"/>
  <c r="L60" i="1"/>
  <c r="K60" i="1"/>
  <c r="N60" i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N59" i="1"/>
  <c r="Q59" i="1"/>
  <c r="R58" i="1"/>
  <c r="M58" i="1"/>
  <c r="L58" i="1"/>
  <c r="K58" i="1"/>
  <c r="I58" i="1"/>
  <c r="P58" i="1" s="1"/>
  <c r="Q58" i="1"/>
  <c r="R57" i="1"/>
  <c r="M57" i="1"/>
  <c r="L57" i="1"/>
  <c r="K57" i="1"/>
  <c r="I57" i="1"/>
  <c r="P57" i="1" s="1"/>
  <c r="Q57" i="1"/>
  <c r="R56" i="1"/>
  <c r="M56" i="1"/>
  <c r="L56" i="1"/>
  <c r="K56" i="1"/>
  <c r="I56" i="1"/>
  <c r="P56" i="1" s="1"/>
  <c r="Q56" i="1"/>
  <c r="R55" i="1"/>
  <c r="M55" i="1"/>
  <c r="L55" i="1"/>
  <c r="K55" i="1"/>
  <c r="N55" i="1"/>
  <c r="Q55" i="1"/>
  <c r="R54" i="1"/>
  <c r="M54" i="1"/>
  <c r="L54" i="1"/>
  <c r="K54" i="1"/>
  <c r="N54" i="1"/>
  <c r="Q54" i="1"/>
  <c r="R53" i="1"/>
  <c r="M53" i="1"/>
  <c r="L53" i="1"/>
  <c r="K53" i="1"/>
  <c r="N53" i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N41" i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N40" i="1"/>
  <c r="Q40" i="1"/>
  <c r="R39" i="1"/>
  <c r="M39" i="1"/>
  <c r="L39" i="1"/>
  <c r="K39" i="1"/>
  <c r="Q39" i="1"/>
  <c r="R38" i="1"/>
  <c r="M38" i="1"/>
  <c r="L38" i="1"/>
  <c r="K38" i="1"/>
  <c r="Q38" i="1"/>
  <c r="R37" i="1"/>
  <c r="M37" i="1"/>
  <c r="L37" i="1"/>
  <c r="K37" i="1"/>
  <c r="Q37" i="1"/>
  <c r="R36" i="1"/>
  <c r="M36" i="1"/>
  <c r="L36" i="1"/>
  <c r="K36" i="1"/>
  <c r="Q36" i="1"/>
  <c r="R35" i="1"/>
  <c r="M35" i="1"/>
  <c r="L35" i="1"/>
  <c r="K35" i="1"/>
  <c r="I35" i="1"/>
  <c r="P35" i="1" s="1"/>
  <c r="Q35" i="1"/>
  <c r="R34" i="1"/>
  <c r="M34" i="1"/>
  <c r="L34" i="1"/>
  <c r="K34" i="1"/>
  <c r="Q34" i="1"/>
  <c r="R33" i="1"/>
  <c r="M33" i="1"/>
  <c r="L33" i="1"/>
  <c r="K33" i="1"/>
  <c r="Q33" i="1"/>
  <c r="R32" i="1"/>
  <c r="M32" i="1"/>
  <c r="L32" i="1"/>
  <c r="K32" i="1"/>
  <c r="Q32" i="1"/>
  <c r="R31" i="1"/>
  <c r="M31" i="1"/>
  <c r="L31" i="1"/>
  <c r="K31" i="1"/>
  <c r="Q31" i="1"/>
  <c r="R30" i="1"/>
  <c r="M30" i="1"/>
  <c r="L30" i="1"/>
  <c r="K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<sst xmlns="http://schemas.openxmlformats.org/spreadsheetml/2006/main" count="232" uniqueCount="187">
  <si>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</si>
  <si>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</si>
  <si>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</si>
  <si>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</si>
  <si>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</si>
  <si>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</si>
  <si>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</si>
  <si>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</si>
  <si>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</si>
  <si>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</si>
  <si>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</si>
  <si>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</si>
  <si>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</si>
  <si>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</si>
  <si>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</si>
  <si>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</si>
  <si>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</si>
  <si>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</si>
  <si>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</si>
  <si>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</si>
  <si>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</si>
  <si>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</si>
  <si>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</si>
  <si>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</si>
  <si>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</si>
  <si>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</si>
  <si>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</si>
  <si>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</si>
  <si>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</si>
  <si>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</si>
  <si>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</si>
  <si>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</si>
  <si>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</si>
  <si>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</si>
  <si>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</si>
  <si>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</si>
  <si>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</si>
  <si>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</si>
  <si>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</si>
  <si>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</si>
  <si>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</si>
  <si>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</si>
  <si>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</si>
  <si>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</si>
  <si>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</si>
  <si>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</si>
  <si>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</si>
  <si>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</si>
  <si>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</si>
  <si>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</si>
  <si>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</si>
  <si>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</si>
  <si>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</si>
  <si>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</si>
  <si>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</si>
  <si>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</si>
  <si>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</si>
  <si>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</si>
  <si>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</si>
  <si>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</si>
  <si>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</si>
  <si>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</si>
  <si>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</si>
  <si>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</si>
  <si>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</si>
  <si>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</si>
  <si>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</si>
  <si>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</si>
  <si>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</si>
  <si>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</si>
  <si>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</si>
  <si>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</si>
  <si>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</si>
  <si>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</si>
  <si>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</si>
  <si>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</si>
  <si>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</si>
  <si>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</si>
  <si>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</si>
  <si>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</si>
  <si>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</si>
  <si>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</si>
  <si>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</si>
  <si>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</si>
  <si>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</si>
  <si>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</si>
  <si>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</si>
  <si>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</si>
  <si>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</si>
  <si>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</si>
  <si>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</si>
  <si>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</si>
  <si>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</si>
  <si>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</si>
  <si>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</si>
  <si>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</si>
  <si>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</si>
  <si>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</si>
  <si>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</si>
  <si>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</si>
  <si>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</si>
  <si>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</si>
  <si>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</si>
  <si>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</si>
  <si>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</si>
  <si>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</si>
  <si>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</si>
  <si>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</si>
  <si>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</si>
  <si>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</si>
  <si>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</si>
  <si>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</si>
  <si>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</si>
  <si>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</si>
  <si>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</si>
  <si>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</si>
  <si>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</si>
  <si>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</si>
  <si>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</si>
  <si>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</si>
  <si>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</si>
  <si>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</si>
  <si>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</si>
  <si>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</si>
  <si>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</si>
  <si>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</si>
  <si>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</si>
  <si>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</si>
  <si>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</si>
  <si>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</si>
  <si>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</si>
  <si>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</si>
  <si>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</si>
  <si>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</si>
  <si>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</si>
  <si>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</si>
  <si>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</si>
  <si>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</si>
  <si>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</si>
  <si>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</si>
  <si>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</si>
  <si>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</si>
  <si>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</si>
  <si>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</si>
  <si>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</si>
  <si>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</si>
  <si>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</si>
  <si>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</si>
  <si>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</si>
  <si>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</si>
  <si>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</si>
  <si>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</si>
  <si>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220, ERA, 0805</t>
  </si>
  <si>
    <t>667-ERA-6AEB221V</t>
  </si>
  <si>
    <t>2,2M, ERJ, 0805</t>
  </si>
  <si>
    <t>667-ERJ-6ENF2204V</t>
  </si>
  <si>
    <t>0R, 0402</t>
  </si>
  <si>
    <t>594-MCU08050Z0000ZP5</t>
  </si>
  <si>
    <t>0R, VIS, 0805</t>
  </si>
  <si>
    <t>652-CR0402-J/-000GLF</t>
  </si>
  <si>
    <t>100k, ERA, 0805</t>
  </si>
  <si>
    <t>667-ERA-6AED104V</t>
  </si>
  <si>
    <t>330, 0805</t>
  </si>
  <si>
    <t>603-AC0805JR-07330RL</t>
  </si>
  <si>
    <t>2k, 0805</t>
  </si>
  <si>
    <t>652-CR0805FX-2001ELF</t>
  </si>
  <si>
    <t>652-CR0805FX-3901ELF</t>
  </si>
  <si>
    <t>3,9k, 0805</t>
  </si>
  <si>
    <t>603-RC0805JR-0724KL</t>
  </si>
  <si>
    <t>24k, 0805</t>
  </si>
  <si>
    <t>667-ERA-6AEB271V</t>
  </si>
  <si>
    <t>270, ERA, 0805</t>
  </si>
  <si>
    <t>150k, ERA, 0805</t>
  </si>
  <si>
    <t>667-ERA-6AED154V</t>
  </si>
  <si>
    <t>RN 22R, 4x0402</t>
  </si>
  <si>
    <t>667-EXB-28V220JX</t>
  </si>
  <si>
    <t>595-TL072CDRG4</t>
  </si>
  <si>
    <t>595-LM339PWR</t>
  </si>
  <si>
    <t>LM339, TSSOP14</t>
  </si>
  <si>
    <t>TL072, SO8</t>
  </si>
  <si>
    <t>595-TXS0102DCUR</t>
  </si>
  <si>
    <t>2B level shifter</t>
  </si>
  <si>
    <t>603-AA0805FR-0710KL</t>
  </si>
  <si>
    <t>603-RC0805JR-101KL</t>
  </si>
  <si>
    <t>1k, 0805 (24 ERA, 14std)</t>
  </si>
  <si>
    <t>10k, 0805 (4 ERA, 20std)</t>
  </si>
  <si>
    <t>Buck 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</si>
</sst>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4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  <font>
      <sz val="8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9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49" fontId="23" fillId="5" borderId="0" xfId="1" quotePrefix="1" applyNumberFormat="1" applyFont="1" applyFill="1" applyAlignment="1" applyProtection="1">
      <alignment horizontal="left"/>
      <protection locked="0"/>
    </xf>
    <xf numFmtId="49" fontId="23" fillId="5" borderId="0" xfId="1" applyNumberFormat="1" applyFont="1" applyFill="1" applyAlignment="1" applyProtection="1">
      <alignment horizontal="left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/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C36" zoomScaleNormal="100" workbookViewId="0">
      <selection activeCell="D52" sqref="D52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2" t="s">
        <v>25</v>
      </c>
      <c r="B10" s="123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2" t="s">
        <v>32</v>
      </c>
      <c r="B12" s="123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4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5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6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0" t="s">
        <v>55</v>
      </c>
      <c r="B27" s="121"/>
      <c r="C27" s="121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153</v>
      </c>
      <c r="D29" s="76">
        <v>10</v>
      </c>
      <c r="E29" s="59" t="str">
        <f t="shared" ref="E29:E68" si="0">IF(ISBLANK(B29),"",(IF(ISBLANK($H$20),CONCATENATE($C$16," ",$C$15,""),$H$20)))</f>
        <v>Robin van den Dungen</v>
      </c>
      <c r="F29" s="74" t="s">
        <v>152</v>
      </c>
      <c r="G29" s="78"/>
      <c r="H29" s="79">
        <v>0.14899999999999999</v>
      </c>
      <c r="I29" s="14">
        <f t="shared" ref="I29" si="1">IF(AND(ISNUMBER(G29),NOT(ISNUMBER(H29))),D29*(G29*1.21),IF(AND(ISNUMBER(H29),NOT(ISNUMBER(G29))),D29*H29,IF(AND(ISNUMBER(G29),ISNUMBER(H29)),"Ex or Inc VAT price", 0)))</f>
        <v>1.49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155</v>
      </c>
      <c r="D30" s="76">
        <v>3</v>
      </c>
      <c r="E30" s="59" t="str">
        <f t="shared" si="0"/>
        <v>Robin van den Dungen</v>
      </c>
      <c r="F30" s="74" t="s">
        <v>154</v>
      </c>
      <c r="G30" s="78"/>
      <c r="H30" s="79">
        <v>9.4E-2</v>
      </c>
      <c r="I30" s="14">
        <f t="shared" ref="I30:I52" si="3">IF(AND(ISNUMBER(G30),NOT(ISNUMBER(H30))),D30*(G30*1.21),IF(AND(ISNUMBER(H30),NOT(ISNUMBER(G30))),D30*H30,IF(AND(ISNUMBER(G30),ISNUMBER(H30)),"Ex or Inc VAT price", 0)))</f>
        <v>0.28200000000000003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4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157</v>
      </c>
      <c r="D31" s="76">
        <v>10</v>
      </c>
      <c r="E31" s="59" t="str">
        <f t="shared" si="0"/>
        <v>Robin van den Dungen</v>
      </c>
      <c r="F31" s="74" t="s">
        <v>158</v>
      </c>
      <c r="G31" s="78"/>
      <c r="H31" s="79">
        <v>0.13900000000000001</v>
      </c>
      <c r="I31" s="14">
        <f t="shared" si="3"/>
        <v>1.3900000000000001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4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127" t="s">
        <v>159</v>
      </c>
      <c r="D32" s="76">
        <v>12</v>
      </c>
      <c r="E32" s="59" t="str">
        <f t="shared" si="0"/>
        <v>Robin van den Dungen</v>
      </c>
      <c r="F32" s="74" t="s">
        <v>156</v>
      </c>
      <c r="G32" s="78"/>
      <c r="H32" s="79">
        <v>4.0000000000000001E-3</v>
      </c>
      <c r="I32" s="14">
        <f t="shared" si="3"/>
        <v>4.8000000000000001E-2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4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161</v>
      </c>
      <c r="D33" s="76">
        <v>3</v>
      </c>
      <c r="E33" s="59" t="str">
        <f t="shared" si="0"/>
        <v>Robin van den Dungen</v>
      </c>
      <c r="F33" s="74" t="s">
        <v>160</v>
      </c>
      <c r="G33" s="78"/>
      <c r="H33" s="79">
        <v>0.432</v>
      </c>
      <c r="I33" s="14">
        <f t="shared" si="3"/>
        <v>1.296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4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128" t="s">
        <v>163</v>
      </c>
      <c r="D34" s="76">
        <v>17</v>
      </c>
      <c r="E34" s="59" t="str">
        <f t="shared" si="0"/>
        <v>Robin van den Dungen</v>
      </c>
      <c r="F34" s="74" t="s">
        <v>162</v>
      </c>
      <c r="G34" s="78"/>
      <c r="H34" s="79">
        <v>2.4E-2</v>
      </c>
      <c r="I34" s="14">
        <f t="shared" si="3"/>
        <v>0.40800000000000003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4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165</v>
      </c>
      <c r="D35" s="76">
        <v>10</v>
      </c>
      <c r="E35" s="59" t="str">
        <f t="shared" si="0"/>
        <v>Robin van den Dungen</v>
      </c>
      <c r="F35" s="74" t="s">
        <v>164</v>
      </c>
      <c r="G35" s="78"/>
      <c r="H35" s="79">
        <v>2.7E-2</v>
      </c>
      <c r="I35" s="14">
        <f t="shared" si="3"/>
        <v>0.27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4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166</v>
      </c>
      <c r="D36" s="76">
        <v>10</v>
      </c>
      <c r="E36" s="59" t="str">
        <f t="shared" si="0"/>
        <v>Robin van den Dungen</v>
      </c>
      <c r="F36" s="74" t="s">
        <v>167</v>
      </c>
      <c r="G36" s="78"/>
      <c r="H36" s="79">
        <v>2.9000000000000001E-2</v>
      </c>
      <c r="I36" s="14">
        <f t="shared" si="3"/>
        <v>0.29000000000000004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4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168</v>
      </c>
      <c r="D37" s="76">
        <v>10</v>
      </c>
      <c r="E37" s="59" t="str">
        <f t="shared" si="0"/>
        <v>Robin van den Dungen</v>
      </c>
      <c r="F37" s="74" t="s">
        <v>169</v>
      </c>
      <c r="G37" s="78"/>
      <c r="H37" s="79">
        <v>2.1000000000000001E-2</v>
      </c>
      <c r="I37" s="14">
        <f t="shared" si="3"/>
        <v>0.21000000000000002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4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170</v>
      </c>
      <c r="D38" s="76">
        <v>10</v>
      </c>
      <c r="E38" s="59" t="str">
        <f t="shared" si="0"/>
        <v>Robin van den Dungen</v>
      </c>
      <c r="F38" s="74" t="s">
        <v>171</v>
      </c>
      <c r="G38" s="78"/>
      <c r="H38" s="79">
        <v>0.18</v>
      </c>
      <c r="I38" s="14">
        <f t="shared" si="3"/>
        <v>1.7999999999999998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4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173</v>
      </c>
      <c r="D39" s="76">
        <v>10</v>
      </c>
      <c r="E39" s="59" t="str">
        <f t="shared" si="0"/>
        <v>Robin van den Dungen</v>
      </c>
      <c r="F39" s="74" t="s">
        <v>172</v>
      </c>
      <c r="G39" s="78"/>
      <c r="H39" s="79">
        <v>0.16900000000000001</v>
      </c>
      <c r="I39" s="14">
        <f t="shared" si="3"/>
        <v>1.6900000000000002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4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175</v>
      </c>
      <c r="D40" s="76">
        <v>10</v>
      </c>
      <c r="E40" s="59" t="str">
        <f t="shared" si="0"/>
        <v>Robin van den Dungen</v>
      </c>
      <c r="F40" s="74" t="s">
        <v>174</v>
      </c>
      <c r="G40" s="78"/>
      <c r="H40" s="79">
        <v>4.1000000000000002E-2</v>
      </c>
      <c r="I40" s="14">
        <f t="shared" si="3"/>
        <v>0.41000000000000003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4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176</v>
      </c>
      <c r="D41" s="76">
        <v>5</v>
      </c>
      <c r="E41" s="59" t="str">
        <f t="shared" si="0"/>
        <v>Robin van den Dungen</v>
      </c>
      <c r="F41" s="77" t="s">
        <v>179</v>
      </c>
      <c r="G41" s="78"/>
      <c r="H41" s="79">
        <v>0.40400000000000003</v>
      </c>
      <c r="I41" s="14">
        <f t="shared" si="3"/>
        <v>2.02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4"/>
        <v>VOL</v>
      </c>
    </row>
    <row r="42" spans="1:21" x14ac:dyDescent="0.25">
      <c r="A42" s="73">
        <v>14</v>
      </c>
      <c r="B42" s="74" t="s">
        <v>74</v>
      </c>
      <c r="C42" s="75" t="s">
        <v>177</v>
      </c>
      <c r="D42" s="76">
        <v>4</v>
      </c>
      <c r="E42" s="59" t="str">
        <f t="shared" si="0"/>
        <v>Robin van den Dungen</v>
      </c>
      <c r="F42" s="77" t="s">
        <v>178</v>
      </c>
      <c r="G42" s="78"/>
      <c r="H42" s="79">
        <v>0.36699999999999999</v>
      </c>
      <c r="I42" s="14">
        <f t="shared" si="3"/>
        <v>1.468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4"/>
        <v>VOL</v>
      </c>
    </row>
    <row r="43" spans="1:21" x14ac:dyDescent="0.25">
      <c r="A43" s="73">
        <v>15</v>
      </c>
      <c r="B43" s="74" t="s">
        <v>74</v>
      </c>
      <c r="C43" s="117" t="s">
        <v>180</v>
      </c>
      <c r="D43" s="76">
        <v>1</v>
      </c>
      <c r="E43" s="59" t="str">
        <f t="shared" si="0"/>
        <v>Robin van den Dungen</v>
      </c>
      <c r="F43" s="77" t="s">
        <v>181</v>
      </c>
      <c r="G43" s="78"/>
      <c r="H43" s="79">
        <v>0.90200000000000002</v>
      </c>
      <c r="I43" s="14">
        <f t="shared" si="3"/>
        <v>0.90200000000000002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4"/>
        <v>VOL</v>
      </c>
    </row>
    <row r="44" spans="1:21" x14ac:dyDescent="0.25">
      <c r="A44" s="73">
        <v>16</v>
      </c>
      <c r="B44" s="74"/>
      <c r="C44" s="119" t="s">
        <v>183</v>
      </c>
      <c r="D44" s="76">
        <v>15</v>
      </c>
      <c r="E44" s="59" t="str">
        <f t="shared" si="0"/>
        <v/>
      </c>
      <c r="F44" s="77" t="s">
        <v>184</v>
      </c>
      <c r="G44" s="78"/>
      <c r="H44" s="79">
        <v>2.1000000000000001E-2</v>
      </c>
      <c r="I44" s="14">
        <f t="shared" si="3"/>
        <v>0.315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4"/>
        <v>NIET COMPLEET</v>
      </c>
    </row>
    <row r="45" spans="1:21" x14ac:dyDescent="0.25">
      <c r="A45" s="73">
        <v>17</v>
      </c>
      <c r="B45" s="74"/>
      <c r="C45" s="75" t="s">
        <v>182</v>
      </c>
      <c r="D45" s="76">
        <v>21</v>
      </c>
      <c r="E45" s="59" t="str">
        <f t="shared" si="0"/>
        <v/>
      </c>
      <c r="F45" s="77" t="s">
        <v>185</v>
      </c>
      <c r="G45" s="78"/>
      <c r="H45" s="79">
        <v>3.9E-2</v>
      </c>
      <c r="I45" s="14">
        <f t="shared" si="3"/>
        <v>0.81899999999999995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4"/>
        <v>NIET COMPLEET</v>
      </c>
    </row>
    <row r="46" spans="1:21" x14ac:dyDescent="0.25">
      <c r="A46" s="73">
        <v>18</v>
      </c>
      <c r="B46" s="74"/>
      <c r="C46" s="117"/>
      <c r="D46" s="76"/>
      <c r="E46" s="59" t="str">
        <f t="shared" si="0"/>
        <v/>
      </c>
      <c r="F46" s="77"/>
      <c r="G46" s="78"/>
      <c r="H46" s="79"/>
      <c r="I46" s="14">
        <f t="shared" si="3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4"/>
        <v>LEEG</v>
      </c>
    </row>
    <row r="47" spans="1:21" x14ac:dyDescent="0.25">
      <c r="A47" s="73">
        <v>19</v>
      </c>
      <c r="B47" s="74"/>
      <c r="C47" s="75" t="s">
        <v>186</v>
      </c>
      <c r="D47" s="76"/>
      <c r="E47" s="59" t="str">
        <f t="shared" si="0"/>
        <v/>
      </c>
      <c r="F47" s="77" t="s">
        <v>186</v>
      </c>
      <c r="G47" s="78"/>
      <c r="H47" s="79"/>
      <c r="I47" s="14">
        <f t="shared" si="3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0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4"/>
        <v>NIET COMPLEET</v>
      </c>
    </row>
    <row r="48" spans="1:21" x14ac:dyDescent="0.25">
      <c r="A48" s="73">
        <v>20</v>
      </c>
      <c r="B48" s="74"/>
      <c r="C48" s="75"/>
      <c r="D48" s="76"/>
      <c r="E48" s="59" t="str">
        <f t="shared" si="0"/>
        <v/>
      </c>
      <c r="F48" s="77"/>
      <c r="G48" s="78"/>
      <c r="H48" s="79"/>
      <c r="I48" s="14">
        <f t="shared" si="3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4"/>
        <v>LEEG</v>
      </c>
    </row>
    <row r="49" spans="1:18" x14ac:dyDescent="0.25">
      <c r="A49" s="73">
        <v>21</v>
      </c>
      <c r="B49" s="74"/>
      <c r="C49" s="75"/>
      <c r="D49" s="76"/>
      <c r="E49" s="59" t="str">
        <f t="shared" si="0"/>
        <v/>
      </c>
      <c r="F49" s="77"/>
      <c r="G49" s="78"/>
      <c r="H49" s="79"/>
      <c r="I49" s="14">
        <f t="shared" si="3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4"/>
        <v>LEEG</v>
      </c>
    </row>
    <row r="50" spans="1:18" x14ac:dyDescent="0.25">
      <c r="A50" s="73">
        <v>22</v>
      </c>
      <c r="B50" s="74"/>
      <c r="C50" s="75"/>
      <c r="D50" s="76"/>
      <c r="E50" s="59" t="str">
        <f t="shared" si="0"/>
        <v/>
      </c>
      <c r="F50" s="118"/>
      <c r="G50" s="78"/>
      <c r="H50" s="79"/>
      <c r="I50" s="14">
        <f t="shared" si="3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4"/>
        <v>LEEG</v>
      </c>
    </row>
    <row r="51" spans="1:18" x14ac:dyDescent="0.25">
      <c r="A51" s="73">
        <v>23</v>
      </c>
      <c r="B51" s="74"/>
      <c r="C51" s="75"/>
      <c r="D51" s="76"/>
      <c r="E51" s="59" t="str">
        <f t="shared" si="0"/>
        <v/>
      </c>
      <c r="F51" s="77"/>
      <c r="G51" s="78"/>
      <c r="H51" s="79"/>
      <c r="I51" s="14">
        <f t="shared" si="3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4"/>
        <v>LEEG</v>
      </c>
    </row>
    <row r="52" spans="1:18" x14ac:dyDescent="0.25">
      <c r="A52" s="73">
        <v>24</v>
      </c>
      <c r="B52" s="74"/>
      <c r="C52" s="75"/>
      <c r="D52" s="76"/>
      <c r="E52" s="59" t="str">
        <f t="shared" si="0"/>
        <v/>
      </c>
      <c r="F52" s="77"/>
      <c r="G52" s="78"/>
      <c r="H52" s="79"/>
      <c r="I52" s="14">
        <f t="shared" si="3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4"/>
        <v>LEEG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/>
      <c r="H53" s="79"/>
      <c r="I53" s="14">
        <f t="shared" ref="I53:I68" si="5">IF(AND(ISNUMBER(G53),NOT(ISNUMBER(H53))),D53*(G53*1.21),IF(AND(ISNUMBER(H53),NOT(ISNUMBER(G53))),D53*H53,IF(AND(ISNUMBER(G53),ISNUMBER(H53)),"Ex or Inc VAT price", 0)))</f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ref="R53:R68" si="6">IF(AND(B53="",C53="",D53="",F53="",H53=""),"LEEG",IF(AND(B53&lt;&gt;"",C53&lt;&gt;"",D53&lt;&gt;"",F53&lt;&gt;"",H53&lt;&gt;""),"VOL","NIET COMPLEET"))</f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/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/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/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/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/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/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/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/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/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/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/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/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/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/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/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15.108000000000001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18.28068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Yq5Tjq7OgLKAxgSe9BP9lLmXPpjlbp5Ny9hIBJyk0p8oPgAaQHiRn2oZNH6E/mNc/sYmuvo9mguOv/Lv4pH7/Q==" saltValue="VzPxBXqYLFi/XoSr47pyKw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mYRkMbct0hsiC7tP6RQONWuRgzR4QcEs+OufAsQ3yMUVFtyh4EcA+LUFZ1qGrjPp/7gc3RXVNURhzieDBcK+mQ==" saltValue="q+Q4KI1xTPIXo0/CT+HwSg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3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2023-06-13T14:29:32Z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