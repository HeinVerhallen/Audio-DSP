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98" documentId="13_ncr:1_{C6327837-2878-4E88-9722-0743A9B87D1F}" xr6:coauthVersionLast="47" xr6:coauthVersionMax="47" xr10:uidLastSave="{0B60BC05-6D6C-4DCD-A440-E9AF42E3E0EF}"/>
  <workbookProtection workbookAlgorithmName="SHA-512" workbookHashValue="set4uFif0UFvPw4H+CqwAou7SiNrBQfvB2KU2NwQoJ+QTtIQRdlQA+m59T90Wjd051NgznAqkY4QpuRnkn8/Dw==" workbookSaltValue="ITXJGGtn+NtmGiEPql2vSQ==" workbookSpinCount="100000" lockStructure="1"/>
  <bookViews>
    <workbookView xWindow="-108" yWindow="-108" windowWidth="23256" windowHeight="1245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44" i="1" l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<sst xmlns="http://schemas.openxmlformats.org/spreadsheetml/2006/main" count="251" uniqueCount="198">
  <si>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</si>
  <si>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</si>
  <si>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</si>
  <si>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</si>
  <si>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</si>
  <si>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</si>
  <si>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</si>
  <si>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</si>
  <si>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</si>
  <si>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</si>
  <si>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</si>
  <si>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</si>
  <si>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</si>
  <si>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</si>
  <si>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</si>
  <si>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</si>
  <si>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</si>
  <si>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</si>
  <si>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</si>
  <si>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</si>
  <si>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</si>
  <si>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</si>
  <si>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</si>
  <si>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</si>
  <si>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</si>
  <si>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</si>
  <si>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</si>
  <si>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</si>
  <si>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</si>
  <si>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</si>
  <si>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</si>
  <si>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</si>
  <si>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</si>
  <si>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</si>
  <si>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</si>
  <si>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</si>
  <si>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</si>
  <si>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</si>
  <si>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</si>
  <si>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</si>
  <si>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</si>
  <si>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</si>
  <si>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</si>
  <si>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</si>
  <si>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</si>
  <si>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</si>
  <si>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</si>
  <si>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</si>
  <si>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</si>
  <si>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</si>
  <si>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</si>
  <si>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</si>
  <si>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</si>
  <si>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</si>
  <si>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</si>
  <si>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</si>
  <si>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</si>
  <si>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</si>
  <si>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</si>
  <si>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</si>
  <si>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</si>
  <si>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</si>
  <si>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</si>
  <si>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</si>
  <si>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</si>
  <si>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</si>
  <si>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</si>
  <si>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</si>
  <si>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</si>
  <si>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</si>
  <si>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</si>
  <si>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</si>
  <si>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</si>
  <si>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</si>
  <si>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</si>
  <si>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</si>
  <si>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</si>
  <si>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</si>
  <si>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</si>
  <si>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</si>
  <si>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</si>
  <si>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</si>
  <si>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</si>
  <si>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</si>
  <si>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</si>
  <si>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</si>
  <si>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</si>
  <si>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</si>
  <si>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</si>
  <si>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</si>
  <si>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</si>
  <si>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</si>
  <si>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</si>
  <si>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</si>
  <si>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</si>
  <si>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</si>
  <si>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</si>
  <si>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</si>
  <si>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</si>
  <si>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</si>
  <si>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</si>
  <si>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</si>
  <si>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</si>
  <si>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</si>
  <si>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</si>
  <si>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</si>
  <si>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</si>
  <si>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</si>
  <si>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</si>
  <si>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</si>
  <si>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</si>
  <si>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</si>
  <si>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</si>
  <si>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</si>
  <si>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</si>
  <si>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</si>
  <si>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</si>
  <si>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</si>
  <si>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</si>
  <si>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</si>
  <si>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</si>
  <si>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</si>
  <si>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</si>
  <si>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</si>
  <si>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</si>
  <si>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</si>
  <si>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</si>
  <si>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</si>
  <si>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</si>
  <si>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</si>
  <si>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</si>
  <si>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</si>
  <si>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</si>
  <si>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</si>
  <si>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</si>
  <si>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</si>
  <si>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</si>
  <si>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</si>
  <si>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</si>
  <si>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</si>
  <si>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</si>
  <si>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</si>
  <si>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</si>
  <si>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</si>
  <si>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</si>
  <si>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</si>
  <si>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</si>
  <si>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</si>
  <si>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</si>
  <si>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</si>
  <si>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</si>
  <si>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</si>
  <si>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820R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</si>
  <si>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</si>
  <si>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</si>
  <si>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</si>
  <si>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</si>
  <si>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</si>
  <si>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</si>
  <si>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</si>
  <si>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</si>
  <si>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</si>
  <si>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</si>
  <si>
    <t>710-860010472003</t>
  </si>
  <si>
    <t>81-GRM155R71H104KE4D</t>
  </si>
  <si>
    <t>710-885012007039</t>
  </si>
  <si>
    <t>1uF, X7R, 0805</t>
  </si>
  <si>
    <t>81-GRM155Z71A105KE1D</t>
  </si>
  <si>
    <t>80-C0805C102J5G</t>
  </si>
  <si>
    <t>187-CL21C222JBFNNNG</t>
  </si>
  <si>
    <t>81-GRM215C1H332JA01J</t>
  </si>
  <si>
    <t>81-GRM2165C2A152JA1D</t>
  </si>
  <si>
    <t>81-GCM2165C2A272JA6J</t>
  </si>
  <si>
    <t>187-CL32B106KBJNNNE</t>
  </si>
  <si>
    <t>81-GRM1555C1H470JA1D</t>
  </si>
  <si>
    <t>4,7nF, C0G, 0805</t>
  </si>
  <si>
    <t>667-ERA-6ARW102V</t>
  </si>
  <si>
    <t>81-GRM215C1H472JA01D</t>
  </si>
  <si>
    <t>791-RMC1/10-100JTP</t>
  </si>
  <si>
    <t>667-ERA-6AED103V</t>
  </si>
  <si>
    <t>667-ERA-6AHD390V</t>
  </si>
  <si>
    <t>603-AC0805JR-07330RL</t>
  </si>
  <si>
    <t>1kR, ERA, 0805</t>
  </si>
  <si>
    <t>10kR, ERA, 0805</t>
  </si>
  <si>
    <t>10R, 0805</t>
  </si>
  <si>
    <t>39R, ERA, 0805</t>
  </si>
  <si>
    <t>330R, 0805</t>
  </si>
  <si>
    <t>4,7R, 0805</t>
  </si>
  <si>
    <t>667-ERA-6AEB472V</t>
  </si>
  <si>
    <t>4,7kR, ERA, 0805</t>
  </si>
  <si>
    <t>603-RC0805JR-074R7L</t>
  </si>
  <si>
    <t>667-ERA-6AEB473V</t>
  </si>
  <si>
    <t>47kR, ERA, 0805</t>
  </si>
  <si>
    <t>220R, ERA, 0805</t>
  </si>
  <si>
    <t>4,3kR, ERA, 0805</t>
  </si>
  <si>
    <t>667-ERA-6AEB221V</t>
  </si>
  <si>
    <t>0R, 0402</t>
  </si>
  <si>
    <t>652-CR0402-J/-000GLF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</si>
</sst>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6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33" zoomScaleNormal="100" workbookViewId="0">
      <selection activeCell="F56" sqref="F56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1" t="s">
        <v>25</v>
      </c>
      <c r="B10" s="122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1" t="s">
        <v>32</v>
      </c>
      <c r="B12" s="122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3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4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5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19" t="s">
        <v>55</v>
      </c>
      <c r="B27" s="120"/>
      <c r="C27" s="120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164</v>
      </c>
      <c r="D29" s="76">
        <v>100</v>
      </c>
      <c r="E29" s="59" t="str">
        <f t="shared" ref="E29:E68" si="0">IF(ISBLANK(B29),"",(IF(ISBLANK($H$20),CONCATENATE($C$16," ",$C$15,""),$H$20)))</f>
        <v>Robin van den Dungen</v>
      </c>
      <c r="F29" s="74" t="s">
        <v>155</v>
      </c>
      <c r="G29" s="78"/>
      <c r="H29" s="79">
        <v>8.0000000000000002E-3</v>
      </c>
      <c r="I29" s="14">
        <f t="shared" ref="I29:I40" si="1">IF(AND(ISNUMBER(G29),NOT(ISNUMBER(H29))),D29*(G29*1.21),IF(AND(ISNUMBER(H29),NOT(ISNUMBER(G29))),D29*H29,IF(AND(ISNUMBER(G29),ISNUMBER(H29)),"Ex or Inc VAT price", 0)))</f>
        <v>0.8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:R40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163</v>
      </c>
      <c r="D30" s="76">
        <v>50</v>
      </c>
      <c r="E30" s="59" t="str">
        <f t="shared" si="0"/>
        <v>Robin van den Dungen</v>
      </c>
      <c r="F30" s="74" t="s">
        <v>156</v>
      </c>
      <c r="G30" s="78" t="str">
        <f t="shared" ref="G30:G40" si="3">IF(ISBLANK(B30),"",$C$11)</f>
        <v>043800-11539-101</v>
      </c>
      <c r="H30" s="79">
        <v>0.08</v>
      </c>
      <c r="I30" s="14">
        <f>IF(AND(ISNUMBER(G30),NOT(ISNUMBER(H30))),D30*(G30*1.21),IF(AND(ISNUMBER(H30),NOT(ISNUMBER(G30))),D30*H30,IF(AND(ISNUMBER(G30),ISNUMBER(H30)),"Ex or Inc VAT price", 0)))</f>
        <v>4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165</v>
      </c>
      <c r="D31" s="76">
        <v>15</v>
      </c>
      <c r="E31" s="59" t="str">
        <f t="shared" si="0"/>
        <v>Robin van den Dungen</v>
      </c>
      <c r="F31" s="74" t="s">
        <v>157</v>
      </c>
      <c r="G31" s="78" t="str">
        <f t="shared" si="3"/>
        <v>043800-11539-101</v>
      </c>
      <c r="H31" s="79">
        <v>7.0000000000000007E-2</v>
      </c>
      <c r="I31" s="14">
        <f>IF(AND(ISNUMBER(G31),NOT(ISNUMBER(H31))),D31*(G31*1.21),IF(AND(ISNUMBER(H31),NOT(ISNUMBER(G31))),D31*H31,IF(AND(ISNUMBER(G31),ISNUMBER(H31)),"Ex or Inc VAT price", 0)))</f>
        <v>1.05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75" t="s">
        <v>168</v>
      </c>
      <c r="D32" s="76">
        <v>11</v>
      </c>
      <c r="E32" s="59" t="str">
        <f t="shared" si="0"/>
        <v>Robin van den Dungen</v>
      </c>
      <c r="F32" s="74" t="s">
        <v>158</v>
      </c>
      <c r="G32" s="78" t="str">
        <f t="shared" si="3"/>
        <v>043800-11539-101</v>
      </c>
      <c r="H32" s="79">
        <v>7.1999999999999995E-2</v>
      </c>
      <c r="I32" s="14">
        <f t="shared" si="1"/>
        <v>0.79199999999999993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2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169</v>
      </c>
      <c r="D33" s="76">
        <v>10</v>
      </c>
      <c r="E33" s="59" t="str">
        <f t="shared" si="0"/>
        <v>Robin van den Dungen</v>
      </c>
      <c r="F33" s="74" t="s">
        <v>159</v>
      </c>
      <c r="G33" s="78" t="str">
        <f t="shared" si="3"/>
        <v>043800-11539-101</v>
      </c>
      <c r="H33" s="79">
        <v>7.9000000000000001E-2</v>
      </c>
      <c r="I33" s="14">
        <f t="shared" si="1"/>
        <v>0.79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2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80" t="s">
        <v>170</v>
      </c>
      <c r="D34" s="76">
        <v>10</v>
      </c>
      <c r="E34" s="59" t="str">
        <f t="shared" si="0"/>
        <v>Robin van den Dungen</v>
      </c>
      <c r="F34" s="74" t="s">
        <v>160</v>
      </c>
      <c r="G34" s="78" t="str">
        <f t="shared" si="3"/>
        <v>043800-11539-101</v>
      </c>
      <c r="H34" s="79">
        <v>9.2999999999999999E-2</v>
      </c>
      <c r="I34" s="14">
        <f t="shared" si="1"/>
        <v>0.92999999999999994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2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171</v>
      </c>
      <c r="D35" s="76">
        <v>10</v>
      </c>
      <c r="E35" s="59" t="str">
        <f t="shared" si="0"/>
        <v>Robin van den Dungen</v>
      </c>
      <c r="F35" s="74" t="s">
        <v>161</v>
      </c>
      <c r="G35" s="78" t="str">
        <f t="shared" si="3"/>
        <v>043800-11539-101</v>
      </c>
      <c r="H35" s="79">
        <v>4.2000000000000003E-2</v>
      </c>
      <c r="I35" s="14">
        <f t="shared" si="1"/>
        <v>0.42000000000000004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2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172</v>
      </c>
      <c r="D36" s="76">
        <v>10</v>
      </c>
      <c r="E36" s="59" t="str">
        <f t="shared" si="0"/>
        <v>Robin van den Dungen</v>
      </c>
      <c r="F36" s="74" t="s">
        <v>162</v>
      </c>
      <c r="G36" s="78" t="str">
        <f t="shared" si="3"/>
        <v>043800-11539-101</v>
      </c>
      <c r="H36" s="79">
        <v>8.5999999999999993E-2</v>
      </c>
      <c r="I36" s="14">
        <f t="shared" si="1"/>
        <v>0.85999999999999988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2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167</v>
      </c>
      <c r="D37" s="76">
        <v>10</v>
      </c>
      <c r="E37" s="59" t="str">
        <f t="shared" si="0"/>
        <v>Robin van den Dungen</v>
      </c>
      <c r="F37" s="74" t="s">
        <v>166</v>
      </c>
      <c r="G37" s="78" t="str">
        <f t="shared" si="3"/>
        <v>043800-11539-101</v>
      </c>
      <c r="H37" s="79">
        <v>3.6999999999999998E-2</v>
      </c>
      <c r="I37" s="14">
        <f t="shared" si="1"/>
        <v>0.37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2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173</v>
      </c>
      <c r="D38" s="76">
        <v>4</v>
      </c>
      <c r="E38" s="59" t="str">
        <f t="shared" si="0"/>
        <v>Robin van den Dungen</v>
      </c>
      <c r="F38" s="74" t="s">
        <v>153</v>
      </c>
      <c r="G38" s="78" t="str">
        <f t="shared" si="3"/>
        <v>043800-11539-101</v>
      </c>
      <c r="H38" s="79">
        <v>0.50800000000000001</v>
      </c>
      <c r="I38" s="14">
        <f t="shared" si="1"/>
        <v>2.032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2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174</v>
      </c>
      <c r="D39" s="76">
        <v>10</v>
      </c>
      <c r="E39" s="59" t="str">
        <f t="shared" si="0"/>
        <v>Robin van den Dungen</v>
      </c>
      <c r="F39" s="74" t="s">
        <v>154</v>
      </c>
      <c r="G39" s="78" t="str">
        <f t="shared" si="3"/>
        <v>043800-11539-101</v>
      </c>
      <c r="H39" s="79">
        <v>1.9E-2</v>
      </c>
      <c r="I39" s="14">
        <f t="shared" si="1"/>
        <v>0.19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2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177</v>
      </c>
      <c r="D40" s="76">
        <v>4</v>
      </c>
      <c r="E40" s="59" t="str">
        <f t="shared" si="0"/>
        <v>Robin van den Dungen</v>
      </c>
      <c r="F40" s="74" t="s">
        <v>175</v>
      </c>
      <c r="G40" s="78" t="str">
        <f t="shared" si="3"/>
        <v>043800-11539-101</v>
      </c>
      <c r="H40" s="79">
        <v>0.16900000000000001</v>
      </c>
      <c r="I40" s="14">
        <f t="shared" si="1"/>
        <v>0.67600000000000005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2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176</v>
      </c>
      <c r="D41" s="76">
        <v>39</v>
      </c>
      <c r="E41" s="59" t="str">
        <f t="shared" si="0"/>
        <v>Robin van den Dungen</v>
      </c>
      <c r="F41" s="77" t="s">
        <v>182</v>
      </c>
      <c r="G41" s="78" t="str">
        <f t="shared" ref="G41:G68" si="4">IF(ISBLANK(B41),"",$C$11)</f>
        <v>043800-11539-101</v>
      </c>
      <c r="H41" s="79">
        <v>0.61599999999999999</v>
      </c>
      <c r="I41" s="14">
        <f t="shared" ref="I41:I68" si="5">IF(AND(ISNUMBER(G41),NOT(ISNUMBER(H41))),D41*(G41*1.21),IF(AND(ISNUMBER(H41),NOT(ISNUMBER(G41))),D41*H41,IF(AND(ISNUMBER(G41),ISNUMBER(H41)),"Ex or Inc VAT price", 0)))</f>
        <v>24.024000000000001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VOL</v>
      </c>
    </row>
    <row r="42" spans="1:21" x14ac:dyDescent="0.25">
      <c r="A42" s="73">
        <v>14</v>
      </c>
      <c r="B42" s="74" t="s">
        <v>74</v>
      </c>
      <c r="C42" s="75" t="s">
        <v>178</v>
      </c>
      <c r="D42" s="76">
        <v>40</v>
      </c>
      <c r="E42" s="59" t="str">
        <f t="shared" si="0"/>
        <v>Robin van den Dungen</v>
      </c>
      <c r="F42" s="77" t="s">
        <v>184</v>
      </c>
      <c r="G42" s="78" t="str">
        <f>IF(ISBLANK(B42),"",$C$11)</f>
        <v>043800-11539-101</v>
      </c>
      <c r="H42" s="79">
        <v>2.1000000000000001E-2</v>
      </c>
      <c r="I42" s="14">
        <f>IF(AND(ISNUMBER(G42),NOT(ISNUMBER(H42))),D42*(G42*1.21),IF(AND(ISNUMBER(H42),NOT(ISNUMBER(G42))),D42*H42,IF(AND(ISNUMBER(G42),ISNUMBER(H42)),"Ex or Inc VAT price", 0)))</f>
        <v>0.84000000000000008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>IF(AND(B42="",C42="",D42="",F42="",H42=""),"LEEG",IF(AND(B42&lt;&gt;"",C42&lt;&gt;"",D42&lt;&gt;"",F42&lt;&gt;"",H42&lt;&gt;""),"VOL","NIET COMPLEET"))</f>
        <v>VOL</v>
      </c>
    </row>
    <row r="43" spans="1:21" x14ac:dyDescent="0.25">
      <c r="A43" s="73">
        <v>15</v>
      </c>
      <c r="B43" s="74" t="s">
        <v>74</v>
      </c>
      <c r="C43" s="117" t="s">
        <v>179</v>
      </c>
      <c r="D43" s="76">
        <v>25</v>
      </c>
      <c r="E43" s="59" t="str">
        <f t="shared" si="0"/>
        <v>Robin van den Dungen</v>
      </c>
      <c r="F43" s="77" t="s">
        <v>183</v>
      </c>
      <c r="G43" s="78" t="str">
        <f>IF(ISBLANK(B43),"",$C$11)</f>
        <v>043800-11539-101</v>
      </c>
      <c r="H43" s="79">
        <v>0.154</v>
      </c>
      <c r="I43" s="14">
        <f>IF(AND(ISNUMBER(G43),NOT(ISNUMBER(H43))),D43*(G43*1.21),IF(AND(ISNUMBER(H43),NOT(ISNUMBER(G43))),D43*H43,IF(AND(ISNUMBER(G43),ISNUMBER(H43)),"Ex or Inc VAT price", 0)))</f>
        <v>3.85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>IF(AND(B43="",C43="",D43="",F43="",H43=""),"LEEG",IF(AND(B43&lt;&gt;"",C43&lt;&gt;"",D43&lt;&gt;"",F43&lt;&gt;"",H43&lt;&gt;""),"VOL","NIET COMPLEET"))</f>
        <v>VOL</v>
      </c>
    </row>
    <row r="44" spans="1:21" x14ac:dyDescent="0.25">
      <c r="A44" s="73">
        <v>16</v>
      </c>
      <c r="B44" s="74" t="s">
        <v>74</v>
      </c>
      <c r="C44" s="75" t="s">
        <v>180</v>
      </c>
      <c r="D44" s="76">
        <v>21</v>
      </c>
      <c r="E44" s="59" t="str">
        <f t="shared" si="0"/>
        <v>Robin van den Dungen</v>
      </c>
      <c r="F44" s="77" t="s">
        <v>185</v>
      </c>
      <c r="G44" s="78" t="str">
        <f t="shared" si="4"/>
        <v>043800-11539-101</v>
      </c>
      <c r="H44" s="79">
        <v>0.16900000000000001</v>
      </c>
      <c r="I44" s="14">
        <f t="shared" si="5"/>
        <v>3.5490000000000004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>IF(AND(B44="",C44="",D44="",F44="",H44=""),"LEEG",IF(AND(B44&lt;&gt;"",C44&lt;&gt;"",D44&lt;&gt;"",F44&lt;&gt;"",H44&lt;&gt;""),"VOL","NIET COMPLEET"))</f>
        <v>VOL</v>
      </c>
    </row>
    <row r="45" spans="1:21" x14ac:dyDescent="0.25">
      <c r="A45" s="73">
        <v>17</v>
      </c>
      <c r="B45" s="74" t="s">
        <v>74</v>
      </c>
      <c r="C45" s="75" t="s">
        <v>181</v>
      </c>
      <c r="D45" s="76">
        <v>18</v>
      </c>
      <c r="E45" s="59" t="str">
        <f t="shared" si="0"/>
        <v>Robin van den Dungen</v>
      </c>
      <c r="F45" s="77" t="s">
        <v>186</v>
      </c>
      <c r="G45" s="78" t="str">
        <f t="shared" si="4"/>
        <v>043800-11539-101</v>
      </c>
      <c r="H45" s="79">
        <v>2.4E-2</v>
      </c>
      <c r="I45" s="14">
        <f t="shared" si="5"/>
        <v>0.432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>IF(AND(B45="",C45="",D45="",F45="",H45=""),"LEEG",IF(AND(B45&lt;&gt;"",C45&lt;&gt;"",D45&lt;&gt;"",F45&lt;&gt;"",H45&lt;&gt;""),"VOL","NIET COMPLEET"))</f>
        <v>VOL</v>
      </c>
    </row>
    <row r="46" spans="1:21" x14ac:dyDescent="0.25">
      <c r="A46" s="73">
        <v>18</v>
      </c>
      <c r="B46" s="74" t="s">
        <v>74</v>
      </c>
      <c r="C46" s="75" t="s">
        <v>188</v>
      </c>
      <c r="D46" s="76">
        <v>14</v>
      </c>
      <c r="E46" s="59" t="str">
        <f t="shared" si="0"/>
        <v>Robin van den Dungen</v>
      </c>
      <c r="F46" s="77" t="s">
        <v>189</v>
      </c>
      <c r="G46" s="78" t="str">
        <f t="shared" si="4"/>
        <v>043800-11539-101</v>
      </c>
      <c r="H46" s="79">
        <v>0.22600000000000001</v>
      </c>
      <c r="I46" s="14">
        <f t="shared" si="5"/>
        <v>3.1640000000000001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>IF(AND(B46="",C46="",D46="",F46="",H46=""),"LEEG",IF(AND(B46&lt;&gt;"",C46&lt;&gt;"",D46&lt;&gt;"",F46&lt;&gt;"",H46&lt;&gt;""),"VOL","NIET COMPLEET"))</f>
        <v>VOL</v>
      </c>
    </row>
    <row r="47" spans="1:21" x14ac:dyDescent="0.25">
      <c r="A47" s="73">
        <v>19</v>
      </c>
      <c r="B47" s="74" t="s">
        <v>74</v>
      </c>
      <c r="C47" s="75" t="s">
        <v>190</v>
      </c>
      <c r="D47" s="76">
        <v>10</v>
      </c>
      <c r="E47" s="59" t="str">
        <f t="shared" si="0"/>
        <v>Robin van den Dungen</v>
      </c>
      <c r="F47" s="77" t="s">
        <v>187</v>
      </c>
      <c r="G47" s="78" t="str">
        <f t="shared" si="4"/>
        <v>043800-11539-101</v>
      </c>
      <c r="H47" s="79">
        <v>3.4000000000000002E-2</v>
      </c>
      <c r="I47" s="14">
        <f t="shared" si="5"/>
        <v>0.34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6"/>
        <v>VOL</v>
      </c>
    </row>
    <row r="48" spans="1:21" x14ac:dyDescent="0.25">
      <c r="A48" s="73">
        <v>20</v>
      </c>
      <c r="B48" s="74" t="s">
        <v>74</v>
      </c>
      <c r="C48" s="75" t="s">
        <v>191</v>
      </c>
      <c r="D48" s="76">
        <v>7</v>
      </c>
      <c r="E48" s="59" t="str">
        <f t="shared" si="0"/>
        <v>Robin van den Dungen</v>
      </c>
      <c r="F48" s="77" t="s">
        <v>192</v>
      </c>
      <c r="G48" s="78" t="str">
        <f t="shared" si="4"/>
        <v>043800-11539-101</v>
      </c>
      <c r="H48" s="79">
        <v>0.14899999999999999</v>
      </c>
      <c r="I48" s="14">
        <f t="shared" si="5"/>
        <v>1.0429999999999999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6"/>
        <v>VOL</v>
      </c>
    </row>
    <row r="49" spans="1:18" x14ac:dyDescent="0.25">
      <c r="A49" s="73">
        <v>21</v>
      </c>
      <c r="B49" s="74" t="s">
        <v>74</v>
      </c>
      <c r="C49" s="75" t="s">
        <v>195</v>
      </c>
      <c r="D49" s="76">
        <v>7</v>
      </c>
      <c r="E49" s="59" t="str">
        <f t="shared" si="0"/>
        <v>Robin van den Dungen</v>
      </c>
      <c r="F49" s="77" t="s">
        <v>193</v>
      </c>
      <c r="G49" s="78" t="str">
        <f t="shared" si="4"/>
        <v>043800-11539-101</v>
      </c>
      <c r="H49" s="79">
        <v>0.14899999999999999</v>
      </c>
      <c r="I49" s="14">
        <f t="shared" si="5"/>
        <v>1.0429999999999999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 t="shared" si="6"/>
        <v>VOL</v>
      </c>
    </row>
    <row r="50" spans="1:18" x14ac:dyDescent="0.25">
      <c r="A50" s="73">
        <v>22</v>
      </c>
      <c r="B50" s="74" t="s">
        <v>74</v>
      </c>
      <c r="C50" s="75" t="s">
        <v>197</v>
      </c>
      <c r="D50" s="76"/>
      <c r="E50" s="59" t="str">
        <f t="shared" si="0"/>
        <v>Robin van den Dungen</v>
      </c>
      <c r="F50" s="118" t="s">
        <v>196</v>
      </c>
      <c r="G50" s="78" t="str">
        <f t="shared" si="4"/>
        <v>043800-11539-101</v>
      </c>
      <c r="H50" s="79">
        <v>4.0000000000000001E-3</v>
      </c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NIET COMPLEET</v>
      </c>
    </row>
    <row r="51" spans="1:18" x14ac:dyDescent="0.25">
      <c r="A51" s="73">
        <v>23</v>
      </c>
      <c r="B51" s="74" t="s">
        <v>74</v>
      </c>
      <c r="C51" s="75"/>
      <c r="D51" s="76"/>
      <c r="E51" s="59" t="str">
        <f t="shared" si="0"/>
        <v>Robin van den Dungen</v>
      </c>
      <c r="F51" s="77" t="s">
        <v>152</v>
      </c>
      <c r="G51" s="78" t="str">
        <f t="shared" si="4"/>
        <v>043800-11539-101</v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0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NIET COMPLEET</v>
      </c>
    </row>
    <row r="52" spans="1:18" x14ac:dyDescent="0.25">
      <c r="A52" s="73">
        <v>24</v>
      </c>
      <c r="B52" s="74" t="s">
        <v>74</v>
      </c>
      <c r="C52" s="75"/>
      <c r="D52" s="76"/>
      <c r="E52" s="59" t="str">
        <f t="shared" si="0"/>
        <v>Robin van den Dungen</v>
      </c>
      <c r="F52" s="77" t="s">
        <v>194</v>
      </c>
      <c r="G52" s="78" t="str">
        <f t="shared" si="4"/>
        <v>043800-11539-101</v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0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NIET COMPLEET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51.195000000000007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61.945950000000011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CH1I8YijR8X6UbsCSAmEZlDArGsNcMx6+pmlKxTkz+f3JlVodmjVDmzu7aTiIMjhcnjEutFS3c0hIbxyH1MVag==" saltValue="iI9TZxEtd5XGt1It4qL9pw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c9WMzLyuNAAHEOsk4RgsNv1rh/QGvVlXYudRGOnJIaSXODI5c3qGwPF3kr1fHZWckLHdVzeUUbopbgD+ZOLGWA==" saltValue="h/8X2NlkMD7A1NBq3KJeO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3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2023-06-13T10:18:43Z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