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Ordered from JLCPCB 31-05-2023/"/>
    </mc:Choice>
  </mc:AlternateContent>
  <xr:revisionPtr revIDLastSave="205" documentId="8_{4E1055CB-D358-4DD5-92B7-05C66C6301DD}" xr6:coauthVersionLast="47" xr6:coauthVersionMax="47" xr10:uidLastSave="{43BD8E3B-D61C-4AF4-9B5D-D14DD2AFC561}"/>
  <workbookProtection workbookAlgorithmName="SHA-512" workbookHashValue="/UkGPhVy1aJfNekdDc7vjcqVBvhC0FGkoMzV4RkjWpg8P5cfnlO1lvVameebcNu/i+hcqi1xQwVtmwBiQN3E+A==" workbookSaltValue="zPpmmMrSbEXom1zT7jcKUg==" workbookSpinCount="100000" lockStructure="1"/>
  <bookViews>
    <workbookView xWindow="-108" yWindow="-108" windowWidth="23256" windowHeight="1245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R42" i="1"/>
  <c r="M42" i="1"/>
  <c r="L42" i="1"/>
  <c r="K42" i="1"/>
  <c r="G42" i="1"/>
  <c r="N42" i="1" s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O47" i="1"/>
  <c r="I47" i="1"/>
  <c r="P47" i="1" s="1"/>
  <c r="O46" i="1"/>
  <c r="I46" i="1"/>
  <c r="P46" i="1" s="1"/>
  <c r="O45" i="1"/>
  <c r="I45" i="1"/>
  <c r="P45" i="1" s="1"/>
  <c r="O44" i="1"/>
  <c r="I44" i="1"/>
  <c r="P44" i="1" s="1"/>
  <c r="O43" i="1"/>
  <c r="I43" i="1"/>
  <c r="P43" i="1" s="1"/>
  <c r="O42" i="1"/>
  <c r="I42" i="1"/>
  <c r="P42" i="1" s="1"/>
  <c r="O41" i="1"/>
  <c r="I41" i="1"/>
  <c r="P41" i="1" s="1"/>
  <c r="R40" i="1" l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G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O32" i="1" s="1"/>
  <c r="I33" i="1"/>
  <c r="P33" i="1" s="1"/>
  <c r="N33" i="1"/>
  <c r="O33" i="1" s="1"/>
  <c r="I34" i="1"/>
  <c r="P34" i="1" s="1"/>
  <c r="N34" i="1"/>
  <c r="O34" i="1" s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O40" i="1"/>
  <c r="I40" i="1"/>
  <c r="P40" i="1" s="1"/>
  <c r="O29" i="1" l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<sst xmlns="http://schemas.openxmlformats.org/spreadsheetml/2006/main" count="207" uniqueCount="166">
  <si>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</si>
  <si>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</si>
  <si>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</si>
  <si>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</si>
  <si>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</si>
  <si>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</si>
  <si>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</si>
  <si>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</si>
  <si>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</si>
  <si>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</si>
  <si>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</si>
  <si>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</si>
  <si>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</si>
  <si>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</si>
  <si>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</si>
  <si>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</si>
  <si>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</si>
  <si>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</si>
  <si>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</si>
  <si>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</si>
  <si>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</si>
  <si>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</si>
  <si>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</si>
  <si>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</si>
  <si>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</si>
  <si>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</si>
  <si>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</si>
  <si>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</si>
  <si>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</si>
  <si>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</si>
  <si>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</si>
  <si>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</si>
  <si>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</si>
  <si>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</si>
  <si>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</si>
  <si>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</si>
  <si>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</si>
  <si>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</si>
  <si>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</si>
  <si>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</si>
  <si>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</si>
  <si>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</si>
  <si>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</si>
  <si>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</si>
  <si>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</si>
  <si>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</si>
  <si>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</si>
  <si>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</si>
  <si>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</si>
  <si>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</si>
  <si>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</si>
  <si>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</si>
  <si>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</si>
  <si>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</si>
  <si>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</si>
  <si>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</si>
  <si>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</si>
  <si>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</si>
  <si>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</si>
  <si>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</si>
  <si>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</si>
  <si>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</si>
  <si>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</si>
  <si>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</si>
  <si>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</si>
  <si>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</si>
  <si>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</si>
  <si>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</si>
  <si>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</si>
  <si>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</si>
  <si>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</si>
  <si>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</si>
  <si>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</si>
  <si>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</si>
  <si>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</si>
  <si>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</si>
  <si>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</si>
  <si>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</si>
  <si>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</si>
  <si>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</si>
  <si>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</si>
  <si>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</si>
  <si>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</si>
  <si>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</si>
  <si>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</si>
  <si>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</si>
  <si>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</si>
  <si>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</si>
  <si>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</si>
  <si>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</si>
  <si>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</si>
  <si>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</si>
  <si>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</si>
  <si>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</si>
  <si>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</si>
  <si>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</si>
  <si>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</si>
  <si>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</si>
  <si>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</si>
  <si>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</si>
  <si>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</si>
  <si>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</si>
  <si>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</si>
  <si>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</si>
  <si>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</si>
  <si>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</si>
  <si>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</si>
  <si>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</si>
  <si>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</si>
  <si>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</si>
  <si>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</si>
  <si>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</si>
  <si>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</si>
  <si>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</si>
  <si>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</si>
  <si>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</si>
  <si>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</si>
  <si>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</si>
  <si>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</si>
  <si>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</si>
  <si>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</si>
  <si>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</si>
  <si>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</si>
  <si>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</si>
  <si>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</si>
  <si>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</si>
  <si>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</si>
  <si>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</si>
  <si>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</si>
  <si>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</si>
  <si>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</si>
  <si>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nl.mouser.com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</si>
  <si>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</si>
  <si>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</si>
  <si>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</si>
  <si>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</si>
  <si>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</si>
  <si>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</si>
  <si>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</si>
  <si>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</si>
  <si>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</si>
  <si>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</si>
  <si>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</si>
  <si>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</si>
  <si>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11-04-2023</t>
  </si>
  <si>
    <t>R.J.A.W.</t>
  </si>
  <si>
    <t>Robin van den Dungen</t>
  </si>
  <si>
    <t>458619@student.fontys.nl</t>
  </si>
  <si>
    <t>+31 6 46858842</t>
  </si>
  <si>
    <t>van den Dungen</t>
  </si>
  <si>
    <t>11539-101</t>
  </si>
  <si>
    <t>BeCreative project Audio DSP (BC1). JLCPCB</t>
  </si>
  <si>
    <t>JLCPCB</t>
  </si>
  <si>
    <t>Shipping</t>
  </si>
  <si>
    <t>(1x) Discrete_linear_regulator_stencil.zip</t>
  </si>
  <si>
    <t>(1x)-15V SEPIC_stencil.zip</t>
  </si>
  <si>
    <t>(1x)Generic_Buck_Converter_stencil.zip</t>
  </si>
  <si>
    <t>Shipping cost</t>
  </si>
  <si>
    <t>(5x)-15V SEPIC_gerber.zip</t>
  </si>
  <si>
    <t>(5x)Discrete_linear_regulator_gerber.zip</t>
  </si>
  <si>
    <t>(10x)Buck_PCB.zip</t>
  </si>
  <si>
    <t>Specified order number location</t>
  </si>
  <si>
    <t>Top and bottom on single stencil</t>
  </si>
  <si>
    <t>China</t>
  </si>
  <si>
    <t>PayPal fee</t>
  </si>
  <si>
    <t>PayPal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</si>
</sst>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1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4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10" zoomScale="85" zoomScaleNormal="85" workbookViewId="0">
      <selection activeCell="F36" sqref="F36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19" t="s">
        <v>25</v>
      </c>
      <c r="B10" s="120"/>
      <c r="C10" s="87" t="s">
        <v>144</v>
      </c>
      <c r="D10" s="47"/>
      <c r="E10" s="37" t="s">
        <v>26</v>
      </c>
      <c r="F10" s="41" t="s">
        <v>27</v>
      </c>
      <c r="G10" s="37"/>
      <c r="H10" s="87" t="s">
        <v>152</v>
      </c>
      <c r="I10" s="38"/>
      <c r="K10" s="81"/>
      <c r="R10"/>
    </row>
    <row r="11" spans="1:19" x14ac:dyDescent="0.25">
      <c r="A11" s="70" t="s">
        <v>28</v>
      </c>
      <c r="B11" s="41"/>
      <c r="C11" s="107" t="str">
        <f>IF(OR(C18="",C20=""),"",CONCATENATE(LEFT(C18,6),"-",C20))</f>
        <v>043800-11539-101</v>
      </c>
      <c r="D11" s="47"/>
      <c r="E11" s="37" t="s">
        <v>29</v>
      </c>
      <c r="F11" s="41" t="s">
        <v>30</v>
      </c>
      <c r="G11" s="37"/>
      <c r="H11" s="87"/>
      <c r="I11" s="38"/>
      <c r="K11" s="81"/>
      <c r="R11"/>
    </row>
    <row r="12" spans="1:19" x14ac:dyDescent="0.25">
      <c r="A12" s="119" t="s">
        <v>31</v>
      </c>
      <c r="B12" s="120"/>
      <c r="C12" s="87" t="s">
        <v>13</v>
      </c>
      <c r="D12" s="105" t="s">
        <v>32</v>
      </c>
      <c r="E12" s="37"/>
      <c r="F12" s="41" t="s">
        <v>33</v>
      </c>
      <c r="G12" s="37"/>
      <c r="H12" s="104"/>
      <c r="I12" s="38"/>
      <c r="K12" s="81"/>
      <c r="M12" s="84"/>
      <c r="R12"/>
      <c r="S12" t="s">
        <v>34</v>
      </c>
    </row>
    <row r="13" spans="1:19" x14ac:dyDescent="0.25">
      <c r="A13" s="36"/>
      <c r="B13" s="37"/>
      <c r="C13" s="37"/>
      <c r="D13" s="47"/>
      <c r="E13" s="37"/>
      <c r="F13" s="41" t="s">
        <v>35</v>
      </c>
      <c r="G13" s="37"/>
      <c r="H13" s="87"/>
      <c r="I13" s="38"/>
      <c r="K13" s="81"/>
      <c r="R13"/>
    </row>
    <row r="14" spans="1:19" x14ac:dyDescent="0.25">
      <c r="A14" s="42" t="s">
        <v>36</v>
      </c>
      <c r="B14" s="43"/>
      <c r="C14" s="44"/>
      <c r="D14" s="47"/>
      <c r="E14" s="37"/>
      <c r="F14" s="41" t="s">
        <v>37</v>
      </c>
      <c r="G14" s="37"/>
      <c r="H14" s="87"/>
      <c r="I14" s="38"/>
      <c r="K14" s="81"/>
    </row>
    <row r="15" spans="1:19" x14ac:dyDescent="0.25">
      <c r="A15" s="70" t="s">
        <v>38</v>
      </c>
      <c r="B15" s="41"/>
      <c r="C15" s="88" t="s">
        <v>145</v>
      </c>
      <c r="D15" s="47"/>
      <c r="E15" s="37"/>
      <c r="F15" s="41" t="s">
        <v>39</v>
      </c>
      <c r="G15" s="37"/>
      <c r="H15" s="87"/>
      <c r="I15" s="38"/>
      <c r="K15" s="81"/>
      <c r="M15" s="84"/>
      <c r="R15"/>
    </row>
    <row r="16" spans="1:19" x14ac:dyDescent="0.25">
      <c r="A16" s="70" t="s">
        <v>40</v>
      </c>
      <c r="B16" s="41"/>
      <c r="C16" s="88" t="s">
        <v>149</v>
      </c>
      <c r="D16" s="47"/>
      <c r="E16" s="37"/>
      <c r="F16" s="41" t="s">
        <v>41</v>
      </c>
      <c r="G16" s="37"/>
      <c r="H16" s="87" t="s">
        <v>163</v>
      </c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42</v>
      </c>
      <c r="G17" s="37"/>
      <c r="H17" s="87"/>
      <c r="I17" s="38"/>
      <c r="K17" s="81"/>
      <c r="R17"/>
    </row>
    <row r="18" spans="1:21" x14ac:dyDescent="0.25">
      <c r="A18" s="70" t="s">
        <v>43</v>
      </c>
      <c r="B18" s="41"/>
      <c r="C18" s="89" t="s">
        <v>44</v>
      </c>
      <c r="D18" s="92" t="s">
        <v>32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45</v>
      </c>
      <c r="G19" s="37"/>
      <c r="H19" s="116"/>
      <c r="I19" s="38"/>
      <c r="K19" s="81"/>
      <c r="R19"/>
    </row>
    <row r="20" spans="1:21" x14ac:dyDescent="0.25">
      <c r="A20" s="70" t="s">
        <v>46</v>
      </c>
      <c r="B20" s="41"/>
      <c r="C20" s="88" t="s">
        <v>150</v>
      </c>
      <c r="D20" s="92" t="s">
        <v>32</v>
      </c>
      <c r="E20" s="37"/>
      <c r="F20" s="112" t="s">
        <v>47</v>
      </c>
      <c r="G20" s="109"/>
      <c r="H20" s="94" t="s">
        <v>146</v>
      </c>
      <c r="I20" s="49" t="s">
        <v>32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48</v>
      </c>
      <c r="B22" s="41"/>
      <c r="C22" s="121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2"/>
      <c r="D23" s="103"/>
      <c r="E23" s="37"/>
      <c r="F23" s="51" t="s">
        <v>49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3"/>
      <c r="E24" s="48"/>
      <c r="F24" s="51" t="s">
        <v>50</v>
      </c>
      <c r="H24" s="110" t="s">
        <v>147</v>
      </c>
      <c r="I24" s="49"/>
      <c r="K24" s="85"/>
      <c r="R24"/>
    </row>
    <row r="25" spans="1:21" x14ac:dyDescent="0.25">
      <c r="A25" s="56" t="s">
        <v>51</v>
      </c>
      <c r="B25" s="37"/>
      <c r="C25" s="46"/>
      <c r="D25" s="47"/>
      <c r="E25" s="48"/>
      <c r="F25" s="51" t="s">
        <v>33</v>
      </c>
      <c r="G25" s="48"/>
      <c r="H25" s="95" t="s">
        <v>148</v>
      </c>
      <c r="I25" s="49"/>
      <c r="K25" s="85"/>
      <c r="R25"/>
    </row>
    <row r="26" spans="1:21" x14ac:dyDescent="0.25">
      <c r="A26" s="70" t="s">
        <v>52</v>
      </c>
      <c r="B26" s="41"/>
      <c r="C26" s="88"/>
      <c r="D26" s="93" t="s">
        <v>32</v>
      </c>
      <c r="E26" s="48"/>
      <c r="F26" s="112" t="s">
        <v>53</v>
      </c>
      <c r="G26" s="48"/>
      <c r="H26" s="108" t="s">
        <v>23</v>
      </c>
      <c r="I26" s="49" t="s">
        <v>32</v>
      </c>
      <c r="K26" s="85"/>
      <c r="R26"/>
    </row>
    <row r="27" spans="1:21" x14ac:dyDescent="0.25">
      <c r="A27" s="117" t="s">
        <v>54</v>
      </c>
      <c r="B27" s="118"/>
      <c r="C27" s="118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55</v>
      </c>
      <c r="B28" s="16" t="s">
        <v>56</v>
      </c>
      <c r="C28" s="16" t="s">
        <v>57</v>
      </c>
      <c r="D28" s="16" t="s">
        <v>58</v>
      </c>
      <c r="E28" s="16" t="s">
        <v>59</v>
      </c>
      <c r="F28" s="16" t="s">
        <v>60</v>
      </c>
      <c r="G28" s="16" t="s">
        <v>61</v>
      </c>
      <c r="H28" s="16" t="s">
        <v>62</v>
      </c>
      <c r="I28" s="17" t="s">
        <v>63</v>
      </c>
      <c r="J28" s="68" t="s">
        <v>64</v>
      </c>
      <c r="K28" s="68" t="s">
        <v>65</v>
      </c>
      <c r="L28" s="68" t="s">
        <v>66</v>
      </c>
      <c r="M28" s="68" t="s">
        <v>67</v>
      </c>
      <c r="N28" s="68" t="s">
        <v>68</v>
      </c>
      <c r="O28" s="68" t="s">
        <v>69</v>
      </c>
      <c r="P28" s="68" t="s">
        <v>70</v>
      </c>
      <c r="Q28" s="68" t="s">
        <v>71</v>
      </c>
      <c r="R28" s="68" t="s">
        <v>72</v>
      </c>
      <c r="S28" s="6"/>
      <c r="T28" s="6"/>
      <c r="U28" s="6"/>
    </row>
    <row r="29" spans="1:21" x14ac:dyDescent="0.25">
      <c r="A29" s="73">
        <v>1</v>
      </c>
      <c r="B29" s="74" t="s">
        <v>152</v>
      </c>
      <c r="C29" s="75" t="s">
        <v>154</v>
      </c>
      <c r="D29" s="76">
        <v>1</v>
      </c>
      <c r="E29" s="59" t="str">
        <f t="shared" ref="E29:E68" si="0">IF(ISBLANK(B29),"",(IF(ISBLANK($H$20),CONCATENATE($C$16," ",$C$15,""),$H$20)))</f>
        <v>Robin van den Dungen</v>
      </c>
      <c r="F29" s="74" t="s">
        <v>162</v>
      </c>
      <c r="G29" s="78" t="str">
        <f t="shared" ref="G29:G40" si="1">IF(ISBLANK(B29),"",$C$11)</f>
        <v>043800-11539-101</v>
      </c>
      <c r="H29" s="79"/>
      <c r="I29" s="14">
        <f t="shared" ref="I29:I40" si="2">IF(AND(ISNUMBER(G29),NOT(ISNUMBER(H29))),D29*(G29*1.21),IF(AND(ISNUMBER(H29),NOT(ISNUMBER(G29))),D29*H29,IF(AND(ISNUMBER(G29),ISNUMBER(H29)),"Ex or Inc VAT price", 0)))</f>
        <v>0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1</v>
      </c>
      <c r="Q29" s="7" t="b">
        <f>+ISBLANK(tableOrderlist[[#This Row],[Aanvrager]])</f>
        <v>0</v>
      </c>
      <c r="R29" s="7" t="str">
        <f t="shared" ref="R29:R40" si="3">IF(AND(B29="",C29="",D29="",F29="",H29=""),"LEEG",IF(AND(B29&lt;&gt;"",C29&lt;&gt;"",D29&lt;&gt;"",F29&lt;&gt;"",H29&lt;&gt;""),"VOL","NIET COMPLEET"))</f>
        <v>NIET COMPLEET</v>
      </c>
      <c r="S29" s="6"/>
      <c r="T29" s="6"/>
      <c r="U29" s="6"/>
    </row>
    <row r="30" spans="1:21" x14ac:dyDescent="0.25">
      <c r="A30" s="73">
        <v>2</v>
      </c>
      <c r="B30" s="74" t="s">
        <v>152</v>
      </c>
      <c r="C30" s="80" t="s">
        <v>155</v>
      </c>
      <c r="D30" s="76">
        <v>1</v>
      </c>
      <c r="E30" s="59" t="str">
        <f t="shared" si="0"/>
        <v>Robin van den Dungen</v>
      </c>
      <c r="F30" s="74" t="s">
        <v>162</v>
      </c>
      <c r="G30" s="78" t="str">
        <f t="shared" si="1"/>
        <v>043800-11539-101</v>
      </c>
      <c r="H30" s="79"/>
      <c r="I30" s="14">
        <f>IF(AND(ISNUMBER(G30),NOT(ISNUMBER(H30))),D30*(G30*1.21),IF(AND(ISNUMBER(H30),NOT(ISNUMBER(G30))),D30*H30,IF(AND(ISNUMBER(G30),ISNUMBER(H30)),"Ex or Inc VAT price", 0)))</f>
        <v>0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1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NIET COMPLEET</v>
      </c>
      <c r="S30" s="6"/>
      <c r="T30" s="6"/>
      <c r="U30" s="6"/>
    </row>
    <row r="31" spans="1:21" x14ac:dyDescent="0.25">
      <c r="A31" s="73">
        <v>3</v>
      </c>
      <c r="B31" s="74" t="s">
        <v>152</v>
      </c>
      <c r="C31" s="80" t="s">
        <v>156</v>
      </c>
      <c r="D31" s="76">
        <v>1</v>
      </c>
      <c r="E31" s="59" t="str">
        <f t="shared" si="0"/>
        <v>Robin van den Dungen</v>
      </c>
      <c r="F31" s="74" t="s">
        <v>162</v>
      </c>
      <c r="G31" s="78" t="str">
        <f t="shared" si="1"/>
        <v>043800-11539-101</v>
      </c>
      <c r="H31" s="79"/>
      <c r="I31" s="14">
        <f>IF(AND(ISNUMBER(G31),NOT(ISNUMBER(H31))),D31*(G31*1.21),IF(AND(ISNUMBER(H31),NOT(ISNUMBER(G31))),D31*H31,IF(AND(ISNUMBER(G31),ISNUMBER(H31)),"Ex or Inc VAT price", 0)))</f>
        <v>0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1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NIET COMPLEET</v>
      </c>
      <c r="S31" s="6"/>
      <c r="T31" s="6"/>
      <c r="U31" s="6"/>
    </row>
    <row r="32" spans="1:21" x14ac:dyDescent="0.25">
      <c r="A32" s="73">
        <v>4</v>
      </c>
      <c r="B32" s="74" t="s">
        <v>152</v>
      </c>
      <c r="C32" s="75" t="s">
        <v>158</v>
      </c>
      <c r="D32" s="76">
        <v>5</v>
      </c>
      <c r="E32" s="59" t="str">
        <f t="shared" si="0"/>
        <v>Robin van den Dungen</v>
      </c>
      <c r="F32" s="74" t="s">
        <v>161</v>
      </c>
      <c r="G32" s="78" t="str">
        <f t="shared" si="1"/>
        <v>043800-11539-101</v>
      </c>
      <c r="H32" s="79"/>
      <c r="I32" s="14">
        <f t="shared" si="2"/>
        <v>0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1</v>
      </c>
      <c r="Q32" s="7" t="b">
        <f>+ISBLANK(tableOrderlist[[#This Row],[Aanvrager]])</f>
        <v>0</v>
      </c>
      <c r="R32" s="7" t="str">
        <f t="shared" si="3"/>
        <v>NIET COMPLEET</v>
      </c>
      <c r="S32" s="6"/>
      <c r="T32" s="6"/>
      <c r="U32" s="6"/>
    </row>
    <row r="33" spans="1:21" x14ac:dyDescent="0.25">
      <c r="A33" s="73">
        <v>5</v>
      </c>
      <c r="B33" s="74" t="s">
        <v>152</v>
      </c>
      <c r="C33" s="75" t="s">
        <v>159</v>
      </c>
      <c r="D33" s="76">
        <v>5</v>
      </c>
      <c r="E33" s="59" t="str">
        <f t="shared" si="0"/>
        <v>Robin van den Dungen</v>
      </c>
      <c r="F33" s="74" t="s">
        <v>161</v>
      </c>
      <c r="G33" s="78" t="str">
        <f t="shared" si="1"/>
        <v>043800-11539-101</v>
      </c>
      <c r="H33" s="79"/>
      <c r="I33" s="14">
        <f t="shared" si="2"/>
        <v>0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1</v>
      </c>
      <c r="Q33" s="7" t="b">
        <f>+ISBLANK(tableOrderlist[[#This Row],[Aanvrager]])</f>
        <v>0</v>
      </c>
      <c r="R33" s="7" t="str">
        <f t="shared" si="3"/>
        <v>NIET COMPLEET</v>
      </c>
      <c r="S33" s="6"/>
      <c r="T33" s="6"/>
      <c r="U33" s="6"/>
    </row>
    <row r="34" spans="1:21" x14ac:dyDescent="0.25">
      <c r="A34" s="73">
        <v>6</v>
      </c>
      <c r="B34" s="74" t="s">
        <v>152</v>
      </c>
      <c r="C34" s="75" t="s">
        <v>160</v>
      </c>
      <c r="D34" s="76">
        <v>10</v>
      </c>
      <c r="E34" s="59" t="str">
        <f t="shared" si="0"/>
        <v>Robin van den Dungen</v>
      </c>
      <c r="F34" s="74" t="s">
        <v>161</v>
      </c>
      <c r="G34" s="78" t="str">
        <f t="shared" si="1"/>
        <v>043800-11539-101</v>
      </c>
      <c r="H34" s="79"/>
      <c r="I34" s="14">
        <f t="shared" si="2"/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 t="shared" si="3"/>
        <v>NIET COMPLEET</v>
      </c>
      <c r="S34" s="6"/>
      <c r="T34" s="6"/>
      <c r="U34" s="6"/>
    </row>
    <row r="35" spans="1:21" x14ac:dyDescent="0.25">
      <c r="A35" s="73">
        <v>7</v>
      </c>
      <c r="B35" s="74" t="s">
        <v>152</v>
      </c>
      <c r="C35" s="75" t="s">
        <v>153</v>
      </c>
      <c r="D35" s="76">
        <v>1</v>
      </c>
      <c r="E35" s="59" t="str">
        <f t="shared" si="0"/>
        <v>Robin van den Dungen</v>
      </c>
      <c r="F35" s="74" t="s">
        <v>157</v>
      </c>
      <c r="G35" s="78" t="str">
        <f t="shared" si="1"/>
        <v>043800-11539-101</v>
      </c>
      <c r="H35" s="79"/>
      <c r="I35" s="14">
        <f t="shared" si="2"/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 t="shared" si="3"/>
        <v>NIET COMPLEET</v>
      </c>
      <c r="S35" s="6"/>
      <c r="T35" s="6"/>
      <c r="U35" s="6"/>
    </row>
    <row r="36" spans="1:21" x14ac:dyDescent="0.25">
      <c r="A36" s="73">
        <v>8</v>
      </c>
      <c r="B36" s="74" t="s">
        <v>165</v>
      </c>
      <c r="C36" s="80" t="s">
        <v>164</v>
      </c>
      <c r="D36" s="76">
        <v>1</v>
      </c>
      <c r="E36" s="59" t="str">
        <f t="shared" si="0"/>
        <v>Robin van den Dungen</v>
      </c>
      <c r="F36" s="74" t="s">
        <v>164</v>
      </c>
      <c r="G36" s="78" t="str">
        <f t="shared" si="1"/>
        <v>043800-11539-101</v>
      </c>
      <c r="H36" s="79"/>
      <c r="I36" s="14">
        <f t="shared" si="2"/>
        <v>0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1</v>
      </c>
      <c r="Q36" s="7" t="b">
        <f>+ISBLANK(tableOrderlist[[#This Row],[Aanvrager]])</f>
        <v>0</v>
      </c>
      <c r="R36" s="7" t="str">
        <f t="shared" si="3"/>
        <v>NIET COMPLEET</v>
      </c>
      <c r="S36" s="6"/>
      <c r="T36" s="6"/>
      <c r="U36" s="6"/>
    </row>
    <row r="37" spans="1:21" x14ac:dyDescent="0.25">
      <c r="A37" s="73">
        <v>9</v>
      </c>
      <c r="B37" s="74"/>
      <c r="C37" s="80"/>
      <c r="D37" s="76"/>
      <c r="E37" s="59" t="str">
        <f t="shared" si="0"/>
        <v/>
      </c>
      <c r="F37" s="74"/>
      <c r="G37" s="78" t="str">
        <f t="shared" si="1"/>
        <v/>
      </c>
      <c r="H37" s="79"/>
      <c r="I37" s="14">
        <f t="shared" si="2"/>
        <v>0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1</v>
      </c>
      <c r="L37" s="7" t="b">
        <f>ISBLANK(tableOrderlist[[#This Row],[Artikel code]])</f>
        <v>1</v>
      </c>
      <c r="M37" s="7" t="b">
        <f>ISBLANK(tableOrderlist[[#This Row],[Hoeveelheid]])</f>
        <v>1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1</v>
      </c>
      <c r="Q37" s="7" t="b">
        <f>+ISBLANK(tableOrderlist[[#This Row],[Aanvrager]])</f>
        <v>0</v>
      </c>
      <c r="R37" s="7" t="str">
        <f t="shared" si="3"/>
        <v>LEEG</v>
      </c>
      <c r="S37" s="6"/>
      <c r="T37" s="6"/>
      <c r="U37" s="6"/>
    </row>
    <row r="38" spans="1:21" x14ac:dyDescent="0.25">
      <c r="A38" s="73">
        <v>10</v>
      </c>
      <c r="B38" s="74"/>
      <c r="C38" s="80"/>
      <c r="D38" s="76"/>
      <c r="E38" s="59" t="str">
        <f t="shared" si="0"/>
        <v/>
      </c>
      <c r="F38" s="74"/>
      <c r="G38" s="78" t="str">
        <f t="shared" si="1"/>
        <v/>
      </c>
      <c r="H38" s="79"/>
      <c r="I38" s="14">
        <f t="shared" si="2"/>
        <v>0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1</v>
      </c>
      <c r="L38" s="7" t="b">
        <f>ISBLANK(tableOrderlist[[#This Row],[Artikel code]])</f>
        <v>1</v>
      </c>
      <c r="M38" s="7" t="b">
        <f>ISBLANK(tableOrderlist[[#This Row],[Hoeveelheid]])</f>
        <v>1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1</v>
      </c>
      <c r="Q38" s="7" t="b">
        <f>+ISBLANK(tableOrderlist[[#This Row],[Aanvrager]])</f>
        <v>0</v>
      </c>
      <c r="R38" s="7" t="str">
        <f t="shared" si="3"/>
        <v>LEEG</v>
      </c>
      <c r="S38" s="6"/>
      <c r="T38" s="6"/>
      <c r="U38" s="6"/>
    </row>
    <row r="39" spans="1:21" x14ac:dyDescent="0.25">
      <c r="A39" s="73">
        <v>11</v>
      </c>
      <c r="B39" s="74"/>
      <c r="C39" s="80"/>
      <c r="D39" s="76"/>
      <c r="E39" s="59" t="str">
        <f t="shared" si="0"/>
        <v/>
      </c>
      <c r="F39" s="74"/>
      <c r="G39" s="78" t="str">
        <f t="shared" si="1"/>
        <v/>
      </c>
      <c r="H39" s="79"/>
      <c r="I39" s="14">
        <f t="shared" si="2"/>
        <v>0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1</v>
      </c>
      <c r="L39" s="7" t="b">
        <f>ISBLANK(tableOrderlist[[#This Row],[Artikel code]])</f>
        <v>1</v>
      </c>
      <c r="M39" s="7" t="b">
        <f>ISBLANK(tableOrderlist[[#This Row],[Hoeveelheid]])</f>
        <v>1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1</v>
      </c>
      <c r="Q39" s="7" t="b">
        <f>+ISBLANK(tableOrderlist[[#This Row],[Aanvrager]])</f>
        <v>0</v>
      </c>
      <c r="R39" s="7" t="str">
        <f t="shared" si="3"/>
        <v>LEEG</v>
      </c>
      <c r="S39" s="6"/>
      <c r="T39" s="6"/>
      <c r="U39" s="6"/>
    </row>
    <row r="40" spans="1:21" x14ac:dyDescent="0.25">
      <c r="A40" s="73">
        <v>12</v>
      </c>
      <c r="B40" s="74"/>
      <c r="C40" s="80"/>
      <c r="D40" s="76"/>
      <c r="E40" s="59" t="str">
        <f t="shared" si="0"/>
        <v/>
      </c>
      <c r="F40" s="74"/>
      <c r="G40" s="78" t="str">
        <f t="shared" si="1"/>
        <v/>
      </c>
      <c r="H40" s="79"/>
      <c r="I40" s="14">
        <f t="shared" si="2"/>
        <v>0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1</v>
      </c>
      <c r="L40" s="7" t="b">
        <f>ISBLANK(tableOrderlist[[#This Row],[Artikel code]])</f>
        <v>1</v>
      </c>
      <c r="M40" s="7" t="b">
        <f>ISBLANK(tableOrderlist[[#This Row],[Hoeveelheid]])</f>
        <v>1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1</v>
      </c>
      <c r="Q40" s="7" t="b">
        <f>+ISBLANK(tableOrderlist[[#This Row],[Aanvrager]])</f>
        <v>0</v>
      </c>
      <c r="R40" s="7" t="str">
        <f t="shared" si="3"/>
        <v>LEEG</v>
      </c>
      <c r="S40" s="50"/>
      <c r="T40" s="6"/>
      <c r="U40" s="6"/>
    </row>
    <row r="41" spans="1:21" x14ac:dyDescent="0.25">
      <c r="A41" s="73">
        <v>13</v>
      </c>
      <c r="B41" s="74"/>
      <c r="C41" s="75"/>
      <c r="D41" s="76"/>
      <c r="E41" s="59" t="str">
        <f t="shared" si="0"/>
        <v/>
      </c>
      <c r="F41" s="77"/>
      <c r="G41" s="78" t="str">
        <f t="shared" ref="G41:G68" si="4">IF(ISBLANK(B41),"",$C$11)</f>
        <v/>
      </c>
      <c r="H41" s="79"/>
      <c r="I41" s="14">
        <f t="shared" ref="I41:I68" si="5">IF(AND(ISNUMBER(G41),NOT(ISNUMBER(H41))),D41*(G41*1.21),IF(AND(ISNUMBER(H41),NOT(ISNUMBER(G41))),D41*H41,IF(AND(ISNUMBER(G41),ISNUMBER(H41)),"Ex or Inc VAT price", 0)))</f>
        <v>0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1</v>
      </c>
      <c r="L41" s="7" t="b">
        <f>ISBLANK(tableOrderlist[[#This Row],[Artikel code]])</f>
        <v>1</v>
      </c>
      <c r="M41" s="7" t="b">
        <f>ISBLANK(tableOrderlist[[#This Row],[Hoeveelheid]])</f>
        <v>1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1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LEEG</v>
      </c>
    </row>
    <row r="42" spans="1:21" x14ac:dyDescent="0.25">
      <c r="A42" s="73">
        <v>14</v>
      </c>
      <c r="B42" s="74"/>
      <c r="C42" s="75"/>
      <c r="D42" s="76"/>
      <c r="E42" s="59" t="str">
        <f t="shared" si="0"/>
        <v/>
      </c>
      <c r="F42" s="77"/>
      <c r="G42" s="78" t="str">
        <f t="shared" si="4"/>
        <v/>
      </c>
      <c r="H42" s="79"/>
      <c r="I42" s="14">
        <f t="shared" si="5"/>
        <v>0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1</v>
      </c>
      <c r="L42" s="7" t="b">
        <f>ISBLANK(tableOrderlist[[#This Row],[Artikel code]])</f>
        <v>1</v>
      </c>
      <c r="M42" s="7" t="b">
        <f>ISBLANK(tableOrderlist[[#This Row],[Hoeveelheid]])</f>
        <v>1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1</v>
      </c>
      <c r="Q42" s="7" t="b">
        <f>+ISBLANK(tableOrderlist[[#This Row],[Aanvrager]])</f>
        <v>0</v>
      </c>
      <c r="R42" s="7" t="str">
        <f t="shared" si="6"/>
        <v>LEEG</v>
      </c>
    </row>
    <row r="43" spans="1:21" x14ac:dyDescent="0.25">
      <c r="A43" s="73">
        <v>15</v>
      </c>
      <c r="B43" s="74"/>
      <c r="C43" s="75"/>
      <c r="D43" s="76"/>
      <c r="E43" s="59" t="str">
        <f t="shared" si="0"/>
        <v/>
      </c>
      <c r="F43" s="77"/>
      <c r="G43" s="78" t="str">
        <f t="shared" si="4"/>
        <v/>
      </c>
      <c r="H43" s="79"/>
      <c r="I43" s="14">
        <f t="shared" si="5"/>
        <v>0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1</v>
      </c>
      <c r="L43" s="7" t="b">
        <f>ISBLANK(tableOrderlist[[#This Row],[Artikel code]])</f>
        <v>1</v>
      </c>
      <c r="M43" s="7" t="b">
        <f>ISBLANK(tableOrderlist[[#This Row],[Hoeveelheid]])</f>
        <v>1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1</v>
      </c>
      <c r="Q43" s="7" t="b">
        <f>+ISBLANK(tableOrderlist[[#This Row],[Aanvrager]])</f>
        <v>0</v>
      </c>
      <c r="R43" s="7" t="str">
        <f t="shared" si="6"/>
        <v>LEEG</v>
      </c>
    </row>
    <row r="44" spans="1:21" x14ac:dyDescent="0.25">
      <c r="A44" s="73">
        <v>16</v>
      </c>
      <c r="B44" s="74"/>
      <c r="C44" s="75"/>
      <c r="D44" s="76"/>
      <c r="E44" s="59" t="str">
        <f t="shared" si="0"/>
        <v/>
      </c>
      <c r="F44" s="77"/>
      <c r="G44" s="78" t="str">
        <f t="shared" si="4"/>
        <v/>
      </c>
      <c r="H44" s="79"/>
      <c r="I44" s="14">
        <f t="shared" si="5"/>
        <v>0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1</v>
      </c>
      <c r="M44" s="7" t="b">
        <f>ISBLANK(tableOrderlist[[#This Row],[Hoeveelheid]])</f>
        <v>1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1</v>
      </c>
      <c r="Q44" s="7" t="b">
        <f>+ISBLANK(tableOrderlist[[#This Row],[Aanvrager]])</f>
        <v>0</v>
      </c>
      <c r="R44" s="7" t="str">
        <f t="shared" si="6"/>
        <v>LEEG</v>
      </c>
    </row>
    <row r="45" spans="1:21" x14ac:dyDescent="0.25">
      <c r="A45" s="73">
        <v>17</v>
      </c>
      <c r="B45" s="74"/>
      <c r="C45" s="75"/>
      <c r="D45" s="76"/>
      <c r="E45" s="59" t="str">
        <f t="shared" si="0"/>
        <v/>
      </c>
      <c r="F45" s="77"/>
      <c r="G45" s="78" t="str">
        <f t="shared" si="4"/>
        <v/>
      </c>
      <c r="H45" s="79"/>
      <c r="I45" s="14">
        <f t="shared" si="5"/>
        <v>0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1</v>
      </c>
      <c r="M45" s="7" t="b">
        <f>ISBLANK(tableOrderlist[[#This Row],[Hoeveelheid]])</f>
        <v>1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1</v>
      </c>
      <c r="Q45" s="7" t="b">
        <f>+ISBLANK(tableOrderlist[[#This Row],[Aanvrager]])</f>
        <v>0</v>
      </c>
      <c r="R45" s="7" t="str">
        <f t="shared" si="6"/>
        <v>LEEG</v>
      </c>
    </row>
    <row r="46" spans="1:21" x14ac:dyDescent="0.25">
      <c r="A46" s="73">
        <v>18</v>
      </c>
      <c r="B46" s="74"/>
      <c r="C46" s="75"/>
      <c r="D46" s="76"/>
      <c r="E46" s="59" t="str">
        <f t="shared" si="0"/>
        <v/>
      </c>
      <c r="F46" s="77"/>
      <c r="G46" s="78" t="str">
        <f t="shared" si="4"/>
        <v/>
      </c>
      <c r="H46" s="79"/>
      <c r="I46" s="14">
        <f t="shared" si="5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6"/>
        <v>LEEG</v>
      </c>
    </row>
    <row r="47" spans="1:21" x14ac:dyDescent="0.25">
      <c r="A47" s="73">
        <v>19</v>
      </c>
      <c r="B47" s="74"/>
      <c r="C47" s="75"/>
      <c r="D47" s="76"/>
      <c r="E47" s="59" t="str">
        <f t="shared" si="0"/>
        <v/>
      </c>
      <c r="F47" s="77"/>
      <c r="G47" s="78" t="str">
        <f t="shared" si="4"/>
        <v/>
      </c>
      <c r="H47" s="79"/>
      <c r="I47" s="14">
        <f t="shared" si="5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1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6"/>
        <v>LEEG</v>
      </c>
    </row>
    <row r="48" spans="1:21" x14ac:dyDescent="0.25">
      <c r="A48" s="73">
        <v>20</v>
      </c>
      <c r="B48" s="74"/>
      <c r="C48" s="75"/>
      <c r="D48" s="76"/>
      <c r="E48" s="59" t="str">
        <f t="shared" si="0"/>
        <v/>
      </c>
      <c r="F48" s="77"/>
      <c r="G48" s="78" t="str">
        <f t="shared" si="4"/>
        <v/>
      </c>
      <c r="H48" s="79"/>
      <c r="I48" s="14">
        <f t="shared" si="5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6"/>
        <v>LEEG</v>
      </c>
    </row>
    <row r="49" spans="1:18" x14ac:dyDescent="0.25">
      <c r="A49" s="73">
        <v>21</v>
      </c>
      <c r="B49" s="74"/>
      <c r="C49" s="75"/>
      <c r="D49" s="76"/>
      <c r="E49" s="59" t="str">
        <f t="shared" si="0"/>
        <v/>
      </c>
      <c r="F49" s="77"/>
      <c r="G49" s="78" t="str">
        <f t="shared" si="4"/>
        <v/>
      </c>
      <c r="H49" s="79"/>
      <c r="I49" s="14">
        <f t="shared" si="5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6"/>
        <v>LEEG</v>
      </c>
    </row>
    <row r="50" spans="1:18" x14ac:dyDescent="0.25">
      <c r="A50" s="73">
        <v>22</v>
      </c>
      <c r="B50" s="74"/>
      <c r="C50" s="75"/>
      <c r="D50" s="76"/>
      <c r="E50" s="59" t="str">
        <f t="shared" si="0"/>
        <v/>
      </c>
      <c r="F50" s="77"/>
      <c r="G50" s="78" t="str">
        <f t="shared" si="4"/>
        <v/>
      </c>
      <c r="H50" s="79"/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LEEG</v>
      </c>
    </row>
    <row r="51" spans="1:18" x14ac:dyDescent="0.25">
      <c r="A51" s="73">
        <v>23</v>
      </c>
      <c r="B51" s="74"/>
      <c r="C51" s="75"/>
      <c r="D51" s="76"/>
      <c r="E51" s="59" t="str">
        <f t="shared" si="0"/>
        <v/>
      </c>
      <c r="F51" s="77"/>
      <c r="G51" s="78" t="str">
        <f t="shared" si="4"/>
        <v/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LEEG</v>
      </c>
    </row>
    <row r="52" spans="1:18" x14ac:dyDescent="0.25">
      <c r="A52" s="73">
        <v>24</v>
      </c>
      <c r="B52" s="74"/>
      <c r="C52" s="75"/>
      <c r="D52" s="76"/>
      <c r="E52" s="59" t="str">
        <f t="shared" si="0"/>
        <v/>
      </c>
      <c r="F52" s="77"/>
      <c r="G52" s="78" t="str">
        <f t="shared" si="4"/>
        <v/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LEEG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73</v>
      </c>
      <c r="I70" s="31">
        <f>SUM(tableOrderlist[Totale prijs])</f>
        <v>0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74</v>
      </c>
      <c r="I71" s="31">
        <f>I70*1.21</f>
        <v>0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75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32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76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LRt9158E7KBQ0DeosR4+BBVKjuheijPqftxACpYW/2h3k0m/5OrsqzRd/H5JEPjce1jvdQuXVQa5FASHQCs2vA==" saltValue="Vi1sHnC+vWMxjYTNkNeZIA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type="decimal" operator="greaterThan" allowBlank="1" showInputMessage="1" showErrorMessage="1" sqref="G29:G68 H30:H68" xr:uid="{00000000-0002-0000-0000-000006000000}">
      <formula1>0</formula1>
    </dataValidation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29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77</v>
      </c>
    </row>
    <row r="2" spans="1:3" ht="14.4" x14ac:dyDescent="0.3">
      <c r="A2" s="2" t="s">
        <v>4</v>
      </c>
      <c r="B2" s="2" t="s">
        <v>5</v>
      </c>
      <c r="C2" t="s">
        <v>78</v>
      </c>
    </row>
    <row r="3" spans="1:3" ht="14.4" x14ac:dyDescent="0.3">
      <c r="A3" s="2" t="s">
        <v>8</v>
      </c>
      <c r="B3" s="2" t="s">
        <v>79</v>
      </c>
      <c r="C3" t="s">
        <v>80</v>
      </c>
    </row>
    <row r="4" spans="1:3" ht="14.4" x14ac:dyDescent="0.3">
      <c r="A4" s="2" t="s">
        <v>10</v>
      </c>
      <c r="B4" s="2" t="s">
        <v>11</v>
      </c>
      <c r="C4" s="3" t="s">
        <v>81</v>
      </c>
    </row>
    <row r="5" spans="1:3" ht="14.4" x14ac:dyDescent="0.3">
      <c r="A5" s="2" t="s">
        <v>14</v>
      </c>
      <c r="B5" s="2" t="s">
        <v>82</v>
      </c>
      <c r="C5" t="s">
        <v>83</v>
      </c>
    </row>
    <row r="6" spans="1:3" ht="14.4" x14ac:dyDescent="0.3">
      <c r="A6" s="2" t="s">
        <v>17</v>
      </c>
      <c r="B6" s="2" t="s">
        <v>84</v>
      </c>
    </row>
    <row r="7" spans="1:3" ht="14.4" x14ac:dyDescent="0.3">
      <c r="A7" s="2" t="s">
        <v>20</v>
      </c>
      <c r="B7" s="2" t="s">
        <v>85</v>
      </c>
    </row>
    <row r="8" spans="1:3" ht="14.4" x14ac:dyDescent="0.3">
      <c r="A8" s="2" t="s">
        <v>86</v>
      </c>
      <c r="B8" s="2" t="s">
        <v>87</v>
      </c>
    </row>
    <row r="9" spans="1:3" ht="14.4" x14ac:dyDescent="0.3">
      <c r="A9" t="s">
        <v>88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89</v>
      </c>
      <c r="B1" s="61" t="s">
        <v>90</v>
      </c>
      <c r="C1" s="61" t="s">
        <v>91</v>
      </c>
    </row>
    <row r="2" spans="1:3" ht="20.100000000000001" customHeight="1" x14ac:dyDescent="0.25">
      <c r="A2" s="62" t="s">
        <v>92</v>
      </c>
      <c r="B2" s="60" t="s">
        <v>93</v>
      </c>
      <c r="C2" s="66"/>
    </row>
    <row r="3" spans="1:3" ht="20.100000000000001" customHeight="1" x14ac:dyDescent="0.25">
      <c r="A3" s="62" t="s">
        <v>94</v>
      </c>
      <c r="B3" s="60" t="s">
        <v>93</v>
      </c>
      <c r="C3" s="67"/>
    </row>
  </sheetData>
  <sheetProtection algorithmName="SHA-512" hashValue="SyiOhtbUXX9BeDtT5IxjrbZ5FGbapjhynYI9013qlTMr6wLIKzGZoA5+gmx7/dphEn94eT0eaCDBK6acXIP6Zw==" saltValue="HGw7Q6mWzYrRUzal1XotbA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95</v>
      </c>
      <c r="B1" s="61" t="s">
        <v>96</v>
      </c>
    </row>
    <row r="2" spans="1:2" ht="25.2" customHeight="1" x14ac:dyDescent="0.25">
      <c r="A2" s="90" t="s">
        <v>97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98</v>
      </c>
      <c r="E1" s="72" t="s">
        <v>99</v>
      </c>
      <c r="G1" s="72" t="s">
        <v>100</v>
      </c>
    </row>
    <row r="2" spans="1:7" x14ac:dyDescent="0.25">
      <c r="A2" t="s">
        <v>101</v>
      </c>
      <c r="C2" t="s">
        <v>102</v>
      </c>
      <c r="E2">
        <v>100</v>
      </c>
      <c r="G2" t="s">
        <v>10</v>
      </c>
    </row>
    <row r="3" spans="1:7" x14ac:dyDescent="0.25">
      <c r="C3" t="s">
        <v>103</v>
      </c>
      <c r="E3">
        <v>300</v>
      </c>
      <c r="G3" t="s">
        <v>8</v>
      </c>
    </row>
    <row r="4" spans="1:7" x14ac:dyDescent="0.25">
      <c r="C4" t="s">
        <v>104</v>
      </c>
      <c r="E4">
        <v>860</v>
      </c>
      <c r="G4" t="s">
        <v>4</v>
      </c>
    </row>
    <row r="5" spans="1:7" x14ac:dyDescent="0.25">
      <c r="C5" t="s">
        <v>105</v>
      </c>
      <c r="E5">
        <v>852</v>
      </c>
      <c r="G5" t="s">
        <v>14</v>
      </c>
    </row>
    <row r="6" spans="1:7" x14ac:dyDescent="0.25">
      <c r="C6" t="s">
        <v>106</v>
      </c>
      <c r="G6" t="s">
        <v>17</v>
      </c>
    </row>
    <row r="7" spans="1:7" x14ac:dyDescent="0.25">
      <c r="C7" t="s">
        <v>107</v>
      </c>
      <c r="G7" t="s">
        <v>88</v>
      </c>
    </row>
    <row r="8" spans="1:7" x14ac:dyDescent="0.25">
      <c r="C8" t="s">
        <v>108</v>
      </c>
      <c r="G8" t="s">
        <v>20</v>
      </c>
    </row>
    <row r="9" spans="1:7" x14ac:dyDescent="0.25">
      <c r="C9" t="s">
        <v>109</v>
      </c>
      <c r="G9" t="s">
        <v>86</v>
      </c>
    </row>
    <row r="10" spans="1:7" x14ac:dyDescent="0.25">
      <c r="C10" t="s">
        <v>110</v>
      </c>
      <c r="G10" t="s">
        <v>111</v>
      </c>
    </row>
    <row r="11" spans="1:7" x14ac:dyDescent="0.25">
      <c r="C11" t="s">
        <v>112</v>
      </c>
      <c r="G11" t="s">
        <v>113</v>
      </c>
    </row>
    <row r="12" spans="1:7" x14ac:dyDescent="0.25">
      <c r="C12" t="s">
        <v>114</v>
      </c>
      <c r="G12" t="s">
        <v>115</v>
      </c>
    </row>
    <row r="13" spans="1:7" x14ac:dyDescent="0.25">
      <c r="C13" t="s">
        <v>116</v>
      </c>
      <c r="G13" t="s">
        <v>117</v>
      </c>
    </row>
    <row r="14" spans="1:7" x14ac:dyDescent="0.25">
      <c r="C14" t="s">
        <v>118</v>
      </c>
      <c r="G14" t="s">
        <v>119</v>
      </c>
    </row>
    <row r="15" spans="1:7" x14ac:dyDescent="0.25">
      <c r="C15" t="s">
        <v>120</v>
      </c>
      <c r="G15" t="s">
        <v>121</v>
      </c>
    </row>
    <row r="16" spans="1:7" x14ac:dyDescent="0.25">
      <c r="C16" t="s">
        <v>122</v>
      </c>
      <c r="G16" t="s">
        <v>123</v>
      </c>
    </row>
    <row r="17" spans="3:7" x14ac:dyDescent="0.25">
      <c r="C17" t="s">
        <v>44</v>
      </c>
      <c r="G17" t="s">
        <v>124</v>
      </c>
    </row>
    <row r="18" spans="3:7" x14ac:dyDescent="0.25">
      <c r="C18" t="s">
        <v>125</v>
      </c>
      <c r="G18" t="s">
        <v>126</v>
      </c>
    </row>
    <row r="19" spans="3:7" x14ac:dyDescent="0.25">
      <c r="C19" t="s">
        <v>127</v>
      </c>
      <c r="G19" t="s">
        <v>128</v>
      </c>
    </row>
    <row r="20" spans="3:7" x14ac:dyDescent="0.25">
      <c r="C20" t="s">
        <v>129</v>
      </c>
      <c r="G20" t="s">
        <v>130</v>
      </c>
    </row>
    <row r="21" spans="3:7" x14ac:dyDescent="0.25">
      <c r="G21" t="s">
        <v>131</v>
      </c>
    </row>
    <row r="22" spans="3:7" x14ac:dyDescent="0.25">
      <c r="G22" t="s">
        <v>132</v>
      </c>
    </row>
    <row r="23" spans="3:7" x14ac:dyDescent="0.25">
      <c r="G23" t="s">
        <v>133</v>
      </c>
    </row>
    <row r="24" spans="3:7" x14ac:dyDescent="0.25">
      <c r="G24" t="s">
        <v>134</v>
      </c>
    </row>
    <row r="25" spans="3:7" x14ac:dyDescent="0.25">
      <c r="G25" t="s">
        <v>135</v>
      </c>
    </row>
    <row r="26" spans="3:7" x14ac:dyDescent="0.25">
      <c r="G26" t="s">
        <v>136</v>
      </c>
    </row>
    <row r="27" spans="3:7" x14ac:dyDescent="0.25">
      <c r="G27" t="s">
        <v>137</v>
      </c>
    </row>
    <row r="28" spans="3:7" x14ac:dyDescent="0.25">
      <c r="G28" t="s">
        <v>138</v>
      </c>
    </row>
    <row r="29" spans="3:7" x14ac:dyDescent="0.25">
      <c r="G29" t="s">
        <v>139</v>
      </c>
    </row>
    <row r="30" spans="3:7" x14ac:dyDescent="0.25">
      <c r="G30" t="s">
        <v>140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141</v>
      </c>
    </row>
    <row r="2" spans="1:1" x14ac:dyDescent="0.25">
      <c r="A2" s="1" t="s">
        <v>142</v>
      </c>
    </row>
    <row r="3" spans="1:1" x14ac:dyDescent="0.25">
      <c r="A3" s="1" t="s">
        <v>143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purl.org/dc/terms/"/>
    <ds:schemaRef ds:uri="http://purl.org/dc/elements/1.1/"/>
    <ds:schemaRef ds:uri="http://schemas.microsoft.com/office/2006/documentManagement/types"/>
    <ds:schemaRef ds:uri="93d10ab3-c374-42b2-b04c-92aeca1ade14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605d510-ea22-4a19-9636-83991cd4053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10E955-3E14-4680-93D8-998E1C8C9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2023-05-31T14:57:14Z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